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nja\My Drive\1PERSONAL\Sanjay\BusinessOpportunities\ResearchAnalyst\Co.Research\"/>
    </mc:Choice>
  </mc:AlternateContent>
  <xr:revisionPtr revIDLastSave="0" documentId="13_ncr:1_{4DF59B4C-84F3-4515-9204-D91832548B70}" xr6:coauthVersionLast="47" xr6:coauthVersionMax="47" xr10:uidLastSave="{00000000-0000-0000-0000-000000000000}"/>
  <bookViews>
    <workbookView xWindow="-110" yWindow="-110" windowWidth="19420" windowHeight="11500" xr2:uid="{00000000-000D-0000-FFFF-FFFF00000000}"/>
  </bookViews>
  <sheets>
    <sheet name="Summary" sheetId="1" r:id="rId1"/>
    <sheet name="Financials" sheetId="5" r:id="rId2"/>
    <sheet name="QtrlyResults"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 i="6" l="1"/>
  <c r="B105" i="6"/>
  <c r="Y77" i="6"/>
  <c r="Y79" i="6" s="1"/>
  <c r="X77" i="6"/>
  <c r="X79" i="6" s="1"/>
  <c r="W77" i="6"/>
  <c r="W79" i="6" s="1"/>
  <c r="V77" i="6"/>
  <c r="V79" i="6" s="1"/>
  <c r="U77" i="6"/>
  <c r="U79" i="6" s="1"/>
  <c r="T77" i="6"/>
  <c r="T79" i="6" s="1"/>
  <c r="S77" i="6"/>
  <c r="S79" i="6" s="1"/>
  <c r="R77" i="6"/>
  <c r="R79" i="6" s="1"/>
  <c r="Q77" i="6"/>
  <c r="P77" i="6"/>
  <c r="O77" i="6"/>
  <c r="N77" i="6"/>
  <c r="M77" i="6"/>
  <c r="L77" i="6"/>
  <c r="K77" i="6"/>
  <c r="J77" i="6"/>
  <c r="I77" i="6"/>
  <c r="I79" i="6" s="1"/>
  <c r="H77" i="6"/>
  <c r="H79" i="6" s="1"/>
  <c r="G77" i="6"/>
  <c r="G79" i="6" s="1"/>
  <c r="F77" i="6"/>
  <c r="F79" i="6" s="1"/>
  <c r="E77" i="6"/>
  <c r="E79" i="6" s="1"/>
  <c r="D77" i="6"/>
  <c r="D79" i="6" s="1"/>
  <c r="C77" i="6"/>
  <c r="C79" i="6" s="1"/>
  <c r="B77" i="6"/>
  <c r="Y76" i="6"/>
  <c r="Y78" i="6" s="1"/>
  <c r="X76" i="6"/>
  <c r="X78" i="6" s="1"/>
  <c r="W76" i="6"/>
  <c r="W78" i="6" s="1"/>
  <c r="V76" i="6"/>
  <c r="V78" i="6" s="1"/>
  <c r="U76" i="6"/>
  <c r="U78" i="6" s="1"/>
  <c r="T76" i="6"/>
  <c r="T78" i="6" s="1"/>
  <c r="S76" i="6"/>
  <c r="S78" i="6" s="1"/>
  <c r="R76" i="6"/>
  <c r="R78" i="6" s="1"/>
  <c r="Q76" i="6"/>
  <c r="Q78" i="6" s="1"/>
  <c r="P76" i="6"/>
  <c r="P78" i="6" s="1"/>
  <c r="O76" i="6"/>
  <c r="O78" i="6" s="1"/>
  <c r="N76" i="6"/>
  <c r="N78" i="6" s="1"/>
  <c r="M76" i="6"/>
  <c r="M78" i="6" s="1"/>
  <c r="L76" i="6"/>
  <c r="L78" i="6" s="1"/>
  <c r="K76" i="6"/>
  <c r="K78" i="6" s="1"/>
  <c r="J76" i="6"/>
  <c r="J78" i="6" s="1"/>
  <c r="I76" i="6"/>
  <c r="I78" i="6" s="1"/>
  <c r="H76" i="6"/>
  <c r="H78" i="6" s="1"/>
  <c r="G76" i="6"/>
  <c r="G78" i="6" s="1"/>
  <c r="F76" i="6"/>
  <c r="F78" i="6" s="1"/>
  <c r="E76" i="6"/>
  <c r="E78" i="6" s="1"/>
  <c r="D76" i="6"/>
  <c r="D78" i="6" s="1"/>
  <c r="C76" i="6"/>
  <c r="C78" i="6" s="1"/>
  <c r="B76" i="6"/>
  <c r="B78" i="6" s="1"/>
  <c r="Y72" i="6"/>
  <c r="X72" i="6"/>
  <c r="W72" i="6"/>
  <c r="V72" i="6"/>
  <c r="U72" i="6"/>
  <c r="T72" i="6"/>
  <c r="S72" i="6"/>
  <c r="R72" i="6"/>
  <c r="Q72" i="6"/>
  <c r="P72" i="6"/>
  <c r="O72" i="6"/>
  <c r="N72" i="6"/>
  <c r="M72" i="6"/>
  <c r="L72" i="6"/>
  <c r="K72" i="6"/>
  <c r="J72" i="6"/>
  <c r="I72" i="6"/>
  <c r="H72" i="6"/>
  <c r="G72" i="6"/>
  <c r="F72" i="6"/>
  <c r="E72" i="6"/>
  <c r="D72" i="6"/>
  <c r="C72" i="6"/>
  <c r="B72" i="6"/>
  <c r="Y69" i="6"/>
  <c r="Y73" i="6" s="1"/>
  <c r="X69" i="6"/>
  <c r="X73" i="6" s="1"/>
  <c r="W69" i="6"/>
  <c r="W73" i="6" s="1"/>
  <c r="V69" i="6"/>
  <c r="V73" i="6" s="1"/>
  <c r="U69" i="6"/>
  <c r="U73" i="6" s="1"/>
  <c r="T69" i="6"/>
  <c r="T73" i="6" s="1"/>
  <c r="S69" i="6"/>
  <c r="S73" i="6" s="1"/>
  <c r="R69" i="6"/>
  <c r="R73" i="6" s="1"/>
  <c r="Q69" i="6"/>
  <c r="Q73" i="6" s="1"/>
  <c r="P69" i="6"/>
  <c r="P73" i="6" s="1"/>
  <c r="O69" i="6"/>
  <c r="O73" i="6" s="1"/>
  <c r="N69" i="6"/>
  <c r="N73" i="6" s="1"/>
  <c r="M69" i="6"/>
  <c r="M73" i="6" s="1"/>
  <c r="L69" i="6"/>
  <c r="L73" i="6" s="1"/>
  <c r="K69" i="6"/>
  <c r="K73" i="6" s="1"/>
  <c r="J69" i="6"/>
  <c r="J73" i="6" s="1"/>
  <c r="I69" i="6"/>
  <c r="I73" i="6" s="1"/>
  <c r="H69" i="6"/>
  <c r="H73" i="6" s="1"/>
  <c r="G69" i="6"/>
  <c r="G73" i="6" s="1"/>
  <c r="F69" i="6"/>
  <c r="F73" i="6" s="1"/>
  <c r="E69" i="6"/>
  <c r="E73" i="6" s="1"/>
  <c r="D69" i="6"/>
  <c r="D73" i="6" s="1"/>
  <c r="C69" i="6"/>
  <c r="C73" i="6" s="1"/>
  <c r="B69" i="6"/>
  <c r="B73" i="6" s="1"/>
  <c r="S66" i="6"/>
  <c r="R66" i="6"/>
  <c r="Q66" i="6"/>
  <c r="P66" i="6"/>
  <c r="M66" i="6"/>
  <c r="C66" i="6"/>
  <c r="Y65" i="6"/>
  <c r="X65" i="6"/>
  <c r="W65" i="6"/>
  <c r="V65" i="6"/>
  <c r="V66" i="6" s="1"/>
  <c r="U65" i="6"/>
  <c r="U66" i="6" s="1"/>
  <c r="T65" i="6"/>
  <c r="T66" i="6" s="1"/>
  <c r="S65" i="6"/>
  <c r="R65" i="6"/>
  <c r="Q65" i="6"/>
  <c r="P65" i="6"/>
  <c r="O65" i="6"/>
  <c r="N65" i="6"/>
  <c r="M65" i="6"/>
  <c r="L65" i="6"/>
  <c r="K65" i="6"/>
  <c r="J65" i="6"/>
  <c r="J66" i="6" s="1"/>
  <c r="I65" i="6"/>
  <c r="H65" i="6"/>
  <c r="G65" i="6"/>
  <c r="F65" i="6"/>
  <c r="F66" i="6" s="1"/>
  <c r="E65" i="6"/>
  <c r="E66" i="6" s="1"/>
  <c r="D65" i="6"/>
  <c r="D66" i="6" s="1"/>
  <c r="C65" i="6"/>
  <c r="Y63" i="6"/>
  <c r="Y66" i="6" s="1"/>
  <c r="X63" i="6"/>
  <c r="X66" i="6" s="1"/>
  <c r="W63" i="6"/>
  <c r="W66" i="6" s="1"/>
  <c r="V63" i="6"/>
  <c r="U63" i="6"/>
  <c r="T63" i="6"/>
  <c r="S63" i="6"/>
  <c r="R63" i="6"/>
  <c r="Q63" i="6"/>
  <c r="P63" i="6"/>
  <c r="O63" i="6"/>
  <c r="O66" i="6" s="1"/>
  <c r="N63" i="6"/>
  <c r="N66" i="6" s="1"/>
  <c r="M63" i="6"/>
  <c r="L63" i="6"/>
  <c r="L66" i="6" s="1"/>
  <c r="K63" i="6"/>
  <c r="K66" i="6" s="1"/>
  <c r="J63" i="6"/>
  <c r="I63" i="6"/>
  <c r="I66" i="6" s="1"/>
  <c r="H63" i="6"/>
  <c r="H66" i="6" s="1"/>
  <c r="G63" i="6"/>
  <c r="G66" i="6" s="1"/>
  <c r="F63" i="6"/>
  <c r="E63" i="6"/>
  <c r="D63" i="6"/>
  <c r="C63" i="6"/>
  <c r="M56" i="6"/>
  <c r="L56" i="6"/>
  <c r="K56" i="6"/>
  <c r="J56" i="6"/>
  <c r="I56" i="6"/>
  <c r="H56" i="6"/>
  <c r="G56" i="6"/>
  <c r="F56" i="6"/>
  <c r="M55" i="6"/>
  <c r="M57" i="6" s="1"/>
  <c r="L55" i="6"/>
  <c r="L57" i="6" s="1"/>
  <c r="K55" i="6"/>
  <c r="K57" i="6" s="1"/>
  <c r="J55" i="6"/>
  <c r="J57" i="6" s="1"/>
  <c r="I55" i="6"/>
  <c r="I57" i="6" s="1"/>
  <c r="H55" i="6"/>
  <c r="H57" i="6" s="1"/>
  <c r="G55" i="6"/>
  <c r="G57" i="6" s="1"/>
  <c r="F55" i="6"/>
  <c r="F57" i="6" s="1"/>
  <c r="E55" i="6"/>
  <c r="M52" i="6"/>
  <c r="J52" i="6"/>
  <c r="J50" i="6" s="1"/>
  <c r="I52" i="6"/>
  <c r="H52" i="6"/>
  <c r="G52" i="6"/>
  <c r="F52" i="6"/>
  <c r="E52" i="6"/>
  <c r="D52" i="6"/>
  <c r="C52" i="6"/>
  <c r="B52" i="6"/>
  <c r="J51" i="6"/>
  <c r="I51" i="6"/>
  <c r="I49" i="6" s="1"/>
  <c r="H51" i="6"/>
  <c r="H49" i="6" s="1"/>
  <c r="G51" i="6"/>
  <c r="F51" i="6"/>
  <c r="F49" i="6" s="1"/>
  <c r="E51" i="6"/>
  <c r="E49" i="6" s="1"/>
  <c r="D51" i="6"/>
  <c r="C51" i="6"/>
  <c r="B51" i="6"/>
  <c r="K50" i="6"/>
  <c r="I50" i="6"/>
  <c r="H50" i="6"/>
  <c r="G50" i="6"/>
  <c r="F50" i="6"/>
  <c r="E50" i="6"/>
  <c r="K49" i="6"/>
  <c r="J49" i="6"/>
  <c r="G49" i="6"/>
  <c r="K44" i="6"/>
  <c r="J44" i="6"/>
  <c r="I44" i="6"/>
  <c r="H44" i="6"/>
  <c r="G44" i="6"/>
  <c r="F44" i="6"/>
  <c r="K42" i="6"/>
  <c r="J42" i="6"/>
  <c r="I42" i="6"/>
  <c r="H42" i="6"/>
  <c r="G42" i="6"/>
  <c r="F42" i="6"/>
  <c r="K40" i="6"/>
  <c r="J40" i="6"/>
  <c r="I40" i="6"/>
  <c r="H40" i="6"/>
  <c r="G40" i="6"/>
  <c r="F40" i="6"/>
  <c r="E33" i="6"/>
  <c r="D33" i="6"/>
  <c r="C33" i="6"/>
  <c r="E31" i="6"/>
  <c r="E32" i="6" s="1"/>
  <c r="D31" i="6"/>
  <c r="D34" i="6" s="1"/>
  <c r="C31" i="6"/>
  <c r="C34" i="6" s="1"/>
  <c r="B31" i="6"/>
  <c r="Y20" i="6"/>
  <c r="X20" i="6"/>
  <c r="W20" i="6"/>
  <c r="V20" i="6"/>
  <c r="U20" i="6"/>
  <c r="T20" i="6"/>
  <c r="S20" i="6"/>
  <c r="R20" i="6"/>
  <c r="Q20" i="6"/>
  <c r="P20" i="6"/>
  <c r="O20" i="6"/>
  <c r="N20" i="6"/>
  <c r="M20" i="6"/>
  <c r="L20" i="6"/>
  <c r="K20" i="6"/>
  <c r="J20" i="6"/>
  <c r="I20" i="6"/>
  <c r="H20" i="6"/>
  <c r="G20" i="6"/>
  <c r="F20" i="6"/>
  <c r="E20" i="6"/>
  <c r="D20" i="6"/>
  <c r="C20" i="6"/>
  <c r="G10" i="6"/>
  <c r="F10" i="6"/>
  <c r="E10" i="6"/>
  <c r="D10" i="6"/>
  <c r="C10" i="6"/>
  <c r="G8" i="6"/>
  <c r="F8" i="6"/>
  <c r="E8" i="6"/>
  <c r="D8" i="6"/>
  <c r="C8" i="6"/>
  <c r="G6" i="6"/>
  <c r="F6" i="6"/>
  <c r="E6" i="6"/>
  <c r="D6" i="6"/>
  <c r="C6" i="6"/>
  <c r="N79" i="6" l="1"/>
  <c r="O79" i="6"/>
  <c r="L79" i="6"/>
  <c r="B79" i="6"/>
  <c r="M79" i="6"/>
  <c r="P79" i="6"/>
  <c r="Q79" i="6"/>
  <c r="J79" i="6"/>
  <c r="K79" i="6"/>
  <c r="E34" i="6"/>
  <c r="D32" i="6"/>
  <c r="C32" i="6"/>
  <c r="E56" i="5" l="1"/>
  <c r="I56" i="5"/>
  <c r="I52" i="5"/>
  <c r="I50" i="5" s="1"/>
  <c r="H52" i="5"/>
  <c r="G52" i="5"/>
  <c r="F52" i="5"/>
  <c r="B11" i="1"/>
  <c r="E33" i="5"/>
  <c r="D33" i="5"/>
  <c r="C33" i="5"/>
  <c r="F5" i="5"/>
  <c r="F7" i="5"/>
  <c r="F9" i="5"/>
  <c r="I53" i="5"/>
  <c r="I51" i="5" s="1"/>
  <c r="H53" i="5"/>
  <c r="G53" i="5"/>
  <c r="F53" i="5"/>
  <c r="E53" i="5"/>
  <c r="D53" i="5"/>
  <c r="C53" i="5"/>
  <c r="B53" i="5"/>
  <c r="I45" i="5"/>
  <c r="H45" i="5"/>
  <c r="G45" i="5"/>
  <c r="F45" i="5"/>
  <c r="I43" i="5"/>
  <c r="H43" i="5"/>
  <c r="G43" i="5"/>
  <c r="F43" i="5"/>
  <c r="I41" i="5"/>
  <c r="H41" i="5"/>
  <c r="G41" i="5"/>
  <c r="F41" i="5"/>
  <c r="E34" i="5" l="1"/>
  <c r="E35" i="5" s="1"/>
  <c r="D34" i="5"/>
  <c r="C34" i="5"/>
  <c r="D35" i="5"/>
  <c r="C35" i="5"/>
  <c r="F20" i="5"/>
  <c r="E20" i="5"/>
  <c r="D20" i="5"/>
  <c r="C20" i="5"/>
  <c r="B20" i="5"/>
  <c r="E9" i="5"/>
  <c r="D9" i="5"/>
  <c r="C9" i="5"/>
  <c r="G8" i="5"/>
  <c r="E7" i="5"/>
  <c r="D7" i="5"/>
  <c r="C7" i="5"/>
  <c r="G6" i="5"/>
  <c r="E5" i="5"/>
  <c r="D5" i="5"/>
  <c r="C5" i="5"/>
  <c r="B115" i="5"/>
  <c r="Y87" i="5"/>
  <c r="X87" i="5"/>
  <c r="W87" i="5"/>
  <c r="V87" i="5"/>
  <c r="U87" i="5"/>
  <c r="T87" i="5"/>
  <c r="S87" i="5"/>
  <c r="R87" i="5"/>
  <c r="Q87" i="5"/>
  <c r="P87" i="5"/>
  <c r="O87" i="5"/>
  <c r="Y86" i="5"/>
  <c r="X86" i="5"/>
  <c r="W86" i="5"/>
  <c r="V86" i="5"/>
  <c r="U86" i="5"/>
  <c r="T86" i="5"/>
  <c r="S86" i="5"/>
  <c r="R86" i="5"/>
  <c r="Q86" i="5"/>
  <c r="P86" i="5"/>
  <c r="O86" i="5"/>
  <c r="Y82" i="5"/>
  <c r="X82" i="5"/>
  <c r="W82" i="5"/>
  <c r="V82" i="5"/>
  <c r="U82" i="5"/>
  <c r="T82" i="5"/>
  <c r="S82" i="5"/>
  <c r="R82" i="5"/>
  <c r="Q82" i="5"/>
  <c r="P82" i="5"/>
  <c r="O82" i="5"/>
  <c r="Y79" i="5"/>
  <c r="X79" i="5"/>
  <c r="W79" i="5"/>
  <c r="V79" i="5"/>
  <c r="U79" i="5"/>
  <c r="T79" i="5"/>
  <c r="S79" i="5"/>
  <c r="R79" i="5"/>
  <c r="Q79" i="5"/>
  <c r="P79" i="5"/>
  <c r="O79" i="5"/>
  <c r="Y75" i="5"/>
  <c r="X75" i="5"/>
  <c r="W75" i="5"/>
  <c r="V75" i="5"/>
  <c r="U75" i="5"/>
  <c r="T75" i="5"/>
  <c r="S75" i="5"/>
  <c r="R75" i="5"/>
  <c r="Q75" i="5"/>
  <c r="P75" i="5"/>
  <c r="O75" i="5"/>
  <c r="N75" i="5"/>
  <c r="M75" i="5"/>
  <c r="L75" i="5"/>
  <c r="K75" i="5"/>
  <c r="J75" i="5"/>
  <c r="I75" i="5"/>
  <c r="H75" i="5"/>
  <c r="G75" i="5"/>
  <c r="F75" i="5"/>
  <c r="E75" i="5"/>
  <c r="Y73" i="5"/>
  <c r="X73" i="5"/>
  <c r="W73" i="5"/>
  <c r="V73" i="5"/>
  <c r="U73" i="5"/>
  <c r="T73" i="5"/>
  <c r="S73" i="5"/>
  <c r="R73" i="5"/>
  <c r="Q73" i="5"/>
  <c r="P73" i="5"/>
  <c r="O73" i="5"/>
  <c r="N73" i="5"/>
  <c r="M73" i="5"/>
  <c r="L73" i="5"/>
  <c r="K73" i="5"/>
  <c r="J73" i="5"/>
  <c r="I73" i="5"/>
  <c r="H73" i="5"/>
  <c r="G73" i="5"/>
  <c r="F73" i="5"/>
  <c r="E73" i="5"/>
  <c r="I57" i="5"/>
  <c r="I58" i="5" s="1"/>
  <c r="H57" i="5"/>
  <c r="G57" i="5"/>
  <c r="F57" i="5"/>
  <c r="H56" i="5"/>
  <c r="G56" i="5"/>
  <c r="F56" i="5"/>
  <c r="H51" i="5"/>
  <c r="G51" i="5"/>
  <c r="F51" i="5"/>
  <c r="H50" i="5"/>
  <c r="G50" i="5"/>
  <c r="F50" i="5"/>
  <c r="E50" i="5"/>
  <c r="B52" i="5"/>
  <c r="G10" i="5"/>
  <c r="Q88" i="5" l="1"/>
  <c r="Q89" i="5" s="1"/>
  <c r="S76" i="5"/>
  <c r="Y83" i="5"/>
  <c r="T88" i="5"/>
  <c r="T89" i="5" s="1"/>
  <c r="T83" i="5"/>
  <c r="U83" i="5"/>
  <c r="P88" i="5"/>
  <c r="P89" i="5" s="1"/>
  <c r="V76" i="5"/>
  <c r="F76" i="5"/>
  <c r="V83" i="5"/>
  <c r="W83" i="5"/>
  <c r="X83" i="5"/>
  <c r="O88" i="5"/>
  <c r="O89" i="5" s="1"/>
  <c r="S88" i="5"/>
  <c r="S89" i="5" s="1"/>
  <c r="R88" i="5"/>
  <c r="R89" i="5" s="1"/>
  <c r="U88" i="5"/>
  <c r="U89" i="5" s="1"/>
  <c r="O83" i="5"/>
  <c r="P83" i="5"/>
  <c r="F58" i="5"/>
  <c r="U76" i="5"/>
  <c r="T76" i="5"/>
  <c r="W76" i="5"/>
  <c r="V88" i="5"/>
  <c r="V89" i="5" s="1"/>
  <c r="E76" i="5"/>
  <c r="M76" i="5"/>
  <c r="N76" i="5"/>
  <c r="G58" i="5"/>
  <c r="H58" i="5"/>
  <c r="O76" i="5"/>
  <c r="W88" i="5"/>
  <c r="W89" i="5" s="1"/>
  <c r="X88" i="5"/>
  <c r="X89" i="5" s="1"/>
  <c r="Y88" i="5"/>
  <c r="Y89" i="5" s="1"/>
  <c r="G76" i="5"/>
  <c r="H76" i="5"/>
  <c r="X76" i="5"/>
  <c r="P76" i="5"/>
  <c r="I76" i="5"/>
  <c r="Y76" i="5"/>
  <c r="Q76" i="5"/>
  <c r="J76" i="5"/>
  <c r="R76" i="5"/>
  <c r="K76" i="5"/>
  <c r="L76" i="5"/>
  <c r="Q83" i="5"/>
  <c r="R83" i="5"/>
  <c r="S83" i="5"/>
</calcChain>
</file>

<file path=xl/sharedStrings.xml><?xml version="1.0" encoding="utf-8"?>
<sst xmlns="http://schemas.openxmlformats.org/spreadsheetml/2006/main" count="410" uniqueCount="248">
  <si>
    <t>Sources of Data</t>
  </si>
  <si>
    <t>Annual Report</t>
  </si>
  <si>
    <t>Investor Presentations</t>
  </si>
  <si>
    <t>Concalls</t>
  </si>
  <si>
    <t>Qtrly Results</t>
  </si>
  <si>
    <t>Period - Cell Link for details</t>
  </si>
  <si>
    <t>Current Price</t>
  </si>
  <si>
    <t>PE Ratio</t>
  </si>
  <si>
    <t>EPS</t>
  </si>
  <si>
    <t>P/BV</t>
  </si>
  <si>
    <t>Sharpe Ratio</t>
  </si>
  <si>
    <t>Volatility</t>
  </si>
  <si>
    <t>Company Valuation</t>
  </si>
  <si>
    <t>Growth Prospects</t>
  </si>
  <si>
    <t>High</t>
  </si>
  <si>
    <t>Margin of Safety</t>
  </si>
  <si>
    <t>Medium</t>
  </si>
  <si>
    <t xml:space="preserve">Investment Action - </t>
  </si>
  <si>
    <t>Buy</t>
  </si>
  <si>
    <t>Price Target</t>
  </si>
  <si>
    <t>Time Target</t>
  </si>
  <si>
    <t>Event Target</t>
  </si>
  <si>
    <t>NA</t>
  </si>
  <si>
    <t>Decision Rational</t>
  </si>
  <si>
    <t>Industry Outlook and Oppurtunities
Section A General Information about the company)</t>
  </si>
  <si>
    <t>Product and Services Category</t>
  </si>
  <si>
    <t>Product and Services Name</t>
  </si>
  <si>
    <t>Geography/ies</t>
  </si>
  <si>
    <t>Market Share</t>
  </si>
  <si>
    <t>Other Market Leadrship</t>
  </si>
  <si>
    <t>Cost Advantages</t>
  </si>
  <si>
    <t>Global Services</t>
  </si>
  <si>
    <t>Key Competitive Advantages</t>
  </si>
  <si>
    <t>Recent Alerts</t>
  </si>
  <si>
    <t>Business Risk</t>
  </si>
  <si>
    <t>Total Number of locations</t>
  </si>
  <si>
    <t>International Locations</t>
  </si>
  <si>
    <t>Geographical Revenue Share</t>
  </si>
  <si>
    <t>Revenue Share by Product</t>
  </si>
  <si>
    <t>Expansion Plans for the next year</t>
  </si>
  <si>
    <t>Business Growth planned next year</t>
  </si>
  <si>
    <t>Government Support</t>
  </si>
  <si>
    <t>Challenges</t>
  </si>
  <si>
    <t>Credit Rating of of long term debt</t>
  </si>
  <si>
    <t>Credit Rating of of short term debt</t>
  </si>
  <si>
    <t>Year of Incorporation</t>
  </si>
  <si>
    <t>Global Alliances</t>
  </si>
  <si>
    <t>Market Leadership</t>
  </si>
  <si>
    <t>Names of competitotrs</t>
  </si>
  <si>
    <t>Recent court cases/ Sebi issues</t>
  </si>
  <si>
    <t>No of customer complaints</t>
  </si>
  <si>
    <t>Related Party Transactions</t>
  </si>
  <si>
    <t>Subsidiaries</t>
  </si>
  <si>
    <t>SWOT</t>
  </si>
  <si>
    <t>Strength</t>
  </si>
  <si>
    <t xml:space="preserve"> - India's Largest Private LIC</t>
  </si>
  <si>
    <t xml:space="preserve"> - Well Distibuted Product Mix</t>
  </si>
  <si>
    <t xml:space="preserve"> - Well Distributed Distribution Mix</t>
  </si>
  <si>
    <t xml:space="preserve"> - Support from HDFC Bank Network as it’s the largest Bancassurance Partner</t>
  </si>
  <si>
    <t xml:space="preserve"> - Stron Parentage</t>
  </si>
  <si>
    <t xml:space="preserve"> - Prudent underwriting and re-insurance management</t>
  </si>
  <si>
    <t>Weekness</t>
  </si>
  <si>
    <t xml:space="preserve"> - Higher Premium compared to Competition</t>
  </si>
  <si>
    <t xml:space="preserve"> - High Advertisement and Promotion Expenses</t>
  </si>
  <si>
    <t xml:space="preserve"> - HDFC Bank the Promoter is selling stake</t>
  </si>
  <si>
    <t xml:space="preserve"> - Investment in HDFC asset Management Co. which is slipping in market share</t>
  </si>
  <si>
    <t>Opportunities</t>
  </si>
  <si>
    <t xml:space="preserve"> - Capturing Market share from LIC</t>
  </si>
  <si>
    <t xml:space="preserve"> - Increase in peneteration due to government effots</t>
  </si>
  <si>
    <t xml:space="preserve"> - ULIP continues to be popular</t>
  </si>
  <si>
    <t>Threat</t>
  </si>
  <si>
    <t xml:space="preserve"> - Very High Competition</t>
  </si>
  <si>
    <t xml:space="preserve"> - High premium, due to lack of cohesive data</t>
  </si>
  <si>
    <t xml:space="preserve"> - No Life Settlement facility, as a result in older age policies gets discountinued</t>
  </si>
  <si>
    <t>Links to Recent News &amp; Articles (last 12 months)</t>
  </si>
  <si>
    <t>https://simplywall.st/stocks/in/insurance/nse-hdfclife/hdfc-life-insurance-shares/news/have-hdfc-life-insurance-company-limited-nsehdfclife-insider</t>
  </si>
  <si>
    <t>https://economictimes.indiatimes.com/markets/stocks/news/hdfc-life-q4-new-premiums-jump-45/articleshow/82264033.cms</t>
  </si>
  <si>
    <t>https://www.bloombergquint.com/markets/hdfc-life-wont-chase-growth-at-the-cost-of-profit-margins-says-ceo-vibha-padalkar</t>
  </si>
  <si>
    <t>https://economictimes.indiatimes.com/markets/expert-view/sbi-life-best-among-insurance-stocks-nitin-raheja/articleshow/82520601.cms</t>
  </si>
  <si>
    <t>https://timesofindia.indiatimes.com/business/india-business/pandemic-may-cut-life-policy-cover/articleshow/82280942.cms</t>
  </si>
  <si>
    <t>Revenue</t>
  </si>
  <si>
    <t>Revenue Growth</t>
  </si>
  <si>
    <t>EBITA</t>
  </si>
  <si>
    <t>EBITA Growth</t>
  </si>
  <si>
    <t>PAT</t>
  </si>
  <si>
    <t>Profit Growth</t>
  </si>
  <si>
    <t>EPS Growth</t>
  </si>
  <si>
    <t>PEG</t>
  </si>
  <si>
    <t>ROCE</t>
  </si>
  <si>
    <t>ROA</t>
  </si>
  <si>
    <t>Debt to Equity</t>
  </si>
  <si>
    <t>Net Profit Margin</t>
  </si>
  <si>
    <t>Current Ratio</t>
  </si>
  <si>
    <t>Share Holding</t>
  </si>
  <si>
    <t>Promoter</t>
  </si>
  <si>
    <t>FPI</t>
  </si>
  <si>
    <t>DIIs</t>
  </si>
  <si>
    <t>Public</t>
  </si>
  <si>
    <t>Pledge Shares</t>
  </si>
  <si>
    <t>Q4 22</t>
  </si>
  <si>
    <t>Industry Report</t>
  </si>
  <si>
    <t>Fair</t>
  </si>
  <si>
    <t>18-24</t>
  </si>
  <si>
    <t>StyLam Industries</t>
  </si>
  <si>
    <t>PEG (GuruFocus)</t>
  </si>
  <si>
    <t>Price/Sales</t>
  </si>
  <si>
    <t>ROIC</t>
  </si>
  <si>
    <t>2021-2022</t>
  </si>
  <si>
    <t>Borosil Renewables Limited</t>
  </si>
  <si>
    <t>YEARLY</t>
  </si>
  <si>
    <t>FY 19-20</t>
  </si>
  <si>
    <t>FY 20-21</t>
  </si>
  <si>
    <t>FY 21-22</t>
  </si>
  <si>
    <t>FY 22-23</t>
  </si>
  <si>
    <t>FY 23-24</t>
  </si>
  <si>
    <t>FY 24-25</t>
  </si>
  <si>
    <t>Profitability (P&amp;L)</t>
  </si>
  <si>
    <t>EBITA (Operating Profit )</t>
  </si>
  <si>
    <t>PAT ( Net Profit )</t>
  </si>
  <si>
    <t>Operating Profit margin (PBDIT )</t>
  </si>
  <si>
    <t>Balance Sheet</t>
  </si>
  <si>
    <t>Operating Leverage</t>
  </si>
  <si>
    <t>Cash from Operating Activity</t>
  </si>
  <si>
    <t>CashfromOps/EBITA (60% +)</t>
  </si>
  <si>
    <t>Contigent Liability (MC)</t>
  </si>
  <si>
    <t>Capex (Net Capex )</t>
  </si>
  <si>
    <t>Net NPAs (for Financial Co)</t>
  </si>
  <si>
    <t>Valuations</t>
  </si>
  <si>
    <t>Price/Net Operating Rev (MoneyControl)</t>
  </si>
  <si>
    <t>EV/Net Operting Rev (MoneyControl)</t>
  </si>
  <si>
    <t>Enterprise Value</t>
  </si>
  <si>
    <t>Price to Book</t>
  </si>
  <si>
    <t>StockPrice (March 31)</t>
  </si>
  <si>
    <t>PE</t>
  </si>
  <si>
    <t>PE Growth</t>
  </si>
  <si>
    <t>QUATERLY</t>
  </si>
  <si>
    <t>Q1 22</t>
  </si>
  <si>
    <t>Q2  22</t>
  </si>
  <si>
    <t>Q3 22</t>
  </si>
  <si>
    <t>Q1 23</t>
  </si>
  <si>
    <t>Q2  23</t>
  </si>
  <si>
    <t>Q3 23</t>
  </si>
  <si>
    <t>Q4 23</t>
  </si>
  <si>
    <t>Price to Sales (TTM)</t>
  </si>
  <si>
    <t>EV to Sales (TTM)</t>
  </si>
  <si>
    <t>Market Cap</t>
  </si>
  <si>
    <t>Enterprise Value (only once a yr MC)</t>
  </si>
  <si>
    <t>Stock Price (Qtr End)</t>
  </si>
  <si>
    <t>Sector PE (MoneyControl)</t>
  </si>
  <si>
    <t>PE (TTM)</t>
  </si>
  <si>
    <t>EPS Growth (TTM)</t>
  </si>
  <si>
    <t>PEG (TTM)</t>
  </si>
  <si>
    <t>MONTHLY</t>
  </si>
  <si>
    <t>Market Factors</t>
  </si>
  <si>
    <t>Stock Price</t>
  </si>
  <si>
    <t>Stock Price Growth</t>
  </si>
  <si>
    <t>Nifty</t>
  </si>
  <si>
    <t>Nifty Growth</t>
  </si>
  <si>
    <t>Stock Performing Better than NIFTY</t>
  </si>
  <si>
    <t>StckSharpe Ratio(Askkuber.com)</t>
  </si>
  <si>
    <t>StckVolatility (Askkuber.com)</t>
  </si>
  <si>
    <t>StckSR/Vol (A)</t>
  </si>
  <si>
    <t>NiftySharpe Ratio (Askkuber.com)</t>
  </si>
  <si>
    <t>NiftyVolatility (Askkuber.com)</t>
  </si>
  <si>
    <t>NiftySR/Vol (B)</t>
  </si>
  <si>
    <t>A/B (&gt;1 Ideal)</t>
  </si>
  <si>
    <t>PEG (&lt;1 Ideal)</t>
  </si>
  <si>
    <t>Data Not Available</t>
  </si>
  <si>
    <t>Period</t>
  </si>
  <si>
    <t xml:space="preserve">News </t>
  </si>
  <si>
    <t>Blogs</t>
  </si>
  <si>
    <t>Vlogs</t>
  </si>
  <si>
    <t>QtrlyResults</t>
  </si>
  <si>
    <t>Inv Prsent'n</t>
  </si>
  <si>
    <t>ConCalls</t>
  </si>
  <si>
    <t>Q2 23</t>
  </si>
  <si>
    <t>AnnulRpt</t>
  </si>
  <si>
    <t>Score</t>
  </si>
  <si>
    <t>Momentum</t>
  </si>
  <si>
    <t>Stock Sharpe Ratio Score</t>
  </si>
  <si>
    <t>Stock SR Vs Nifty SR &gt; 2X</t>
  </si>
  <si>
    <t>Stock Price Vs Nifty &gt; 60%</t>
  </si>
  <si>
    <t>Sharpe Ratio/Volattility Score</t>
  </si>
  <si>
    <t>Price to Sales or Ent Value Score</t>
  </si>
  <si>
    <t>PEG - PE to EPS Growth</t>
  </si>
  <si>
    <t>Fundamentals</t>
  </si>
  <si>
    <t>EPS Score</t>
  </si>
  <si>
    <t>Revenue, EBITA &amp; PAT Growth Score</t>
  </si>
  <si>
    <t>Cash Flow to EBITA Score</t>
  </si>
  <si>
    <t>Debt Equity Ratio</t>
  </si>
  <si>
    <t>Subjective</t>
  </si>
  <si>
    <t>New Product Launch</t>
  </si>
  <si>
    <t>MOAT</t>
  </si>
  <si>
    <t>TOTAL</t>
  </si>
  <si>
    <t>Sources</t>
  </si>
  <si>
    <t>MF</t>
  </si>
  <si>
    <t>ValuePicker</t>
  </si>
  <si>
    <t>RechRprt</t>
  </si>
  <si>
    <t>Leading Laminanate supplier from India</t>
  </si>
  <si>
    <t xml:space="preserve"> -  Laminate 100% revenue source</t>
  </si>
  <si>
    <t>Export incentives</t>
  </si>
  <si>
    <t>Employees</t>
  </si>
  <si>
    <t>Dr.VijayMalik</t>
  </si>
  <si>
    <t>Generic Injectables in unregulated market. Only now entering in the Regulated Market</t>
  </si>
  <si>
    <t>Latin America, Africa and now entering regulated markets</t>
  </si>
  <si>
    <t xml:space="preserve"> - India is a favorable sourcing destination for injectables. The Indian generic injectables market was worth $2.4 billion in 2022 and is expected to reach $4.9 billion by 2028. The market is expected to grow at a compound annual growth rate (CAGR) of 12.4% from 2023 to 2028.
 - The global injectable drug delivery devices market was worth $618 billion in 2021 and is expected to surpass $1683 billion by 2030. The market is expected to grow at a CAGR of 10.25% from 2022 to 2030
 - The Indian generic drugs market was worth $24.53 billion in 2022 and is expected to grow at a CAGR of 6.97%</t>
  </si>
  <si>
    <t xml:space="preserve"> - Established Brand Name in Lat Am and Africa
 - Well established distribution Network in Lat Am and Africa</t>
  </si>
  <si>
    <t xml:space="preserve"> - Zero Debt Company. Most companies of this size are high debt. No interest Cost advantageous to the company</t>
  </si>
  <si>
    <t>100 % Export</t>
  </si>
  <si>
    <t>Plants in 5 Loaction in Tamil Nadu and Puduchery</t>
  </si>
  <si>
    <t>Sales network in Lat Am and Africa</t>
  </si>
  <si>
    <t>~ Its not a large player in the Regulated Market. Transition from Undegulated Market to Regulated Market is not easy
~ The journey from a molecule to the final product is a 3-5 years journey in Injectables. Hence, that can be a challenge</t>
  </si>
  <si>
    <t>~ The company is entering highly regulated markets. While it offer greater opportunities but exposeses its plant to USFDA inspection
~ Lat Am and Africa are risky markets for collecting payment from customers. The receivable days for the company reflects the same</t>
  </si>
  <si>
    <t>Lat Am and Africa - 86%. USA 14%</t>
  </si>
  <si>
    <t>1. One of the few company in pharma which is growing QoQ from last 10+ qtrs.
2. Expansion in Oncology, Entry in  regulated markets, Backward integration will drive the growth
3. Ecom platform QuetenX is also growing fast.
4. MOAT is their Brand Recall and Dominant Distribution Network in LATAM. 
5. Since going commercial, Caplin has managed to scale Ketorolac at a CAGR of around 20%, and now captures around 15% of the market share.
6. Caplin revenue comes from milestone and profit sharing too. Molecules usually take 4-5 years to scale. Therefore, ANDAs filed in 2020 and 2021 are still toddlers.
7. Company expect approval of 3 Products next quarter, with this the total no of approved Products for Caplin will be 22. 
8. These newer molecules also have a higher price/kg realisation than legacy molecules like Ketorolac. If these scale, Caplin's revenues will benefit from higher realisations in the product mix along with volume growth.
9. Caplin's vision is to scale to 700 - 800 Cr. of revenue from injectables. This looks very reasonable with a large ANDA pipeline, and the strategy of targeting small molecules with not much competitive intensity.
10. Development of 65+ API’s both in General Category and Oncology completed at R&amp;D scale, to be scaled up when Company’s API units go on stream in the next few months.</t>
  </si>
  <si>
    <t>Not Rated as no loans on Book</t>
  </si>
  <si>
    <t>The company helps other manufactures sell their products in Lat Am</t>
  </si>
  <si>
    <t>Gland, Dr Reddys</t>
  </si>
  <si>
    <t xml:space="preserve"> - Launch of new Products can increase the Revenue at a very Rapid pace
 - Entering regulated markets is a big opportunity</t>
  </si>
  <si>
    <t>`</t>
  </si>
  <si>
    <t>Increased from 68.8% (Dec 2022)</t>
  </si>
  <si>
    <t>Increased from 2.24% (Dec 2022)</t>
  </si>
  <si>
    <t>Decreased from 1.07% (Dec 2022)</t>
  </si>
  <si>
    <t>Decreased from 27.81% (Dec 2022)</t>
  </si>
  <si>
    <t>Decreased from 0.08% (Dec 2022)</t>
  </si>
  <si>
    <t>Caplin Labs</t>
  </si>
  <si>
    <t>Q1 24</t>
  </si>
  <si>
    <t>Q2 24</t>
  </si>
  <si>
    <t>Q3 24</t>
  </si>
  <si>
    <t>Q4 24</t>
  </si>
  <si>
    <t>31-09-2023</t>
  </si>
  <si>
    <t>Anti Thesis</t>
  </si>
  <si>
    <t>~ The company is entering highly regulated markets. While it offer greater opportunities but exposeses its plant to USFDA inspection
~ Lat Am and Africa are risky markets for collecting payment from customers. The receivable days for the company reflects the same
~ The journey from a molecule to the final product is a 3-5 years journey in Injectables. Hence, that can be a challenge</t>
  </si>
  <si>
    <t>Action</t>
  </si>
  <si>
    <t>Sell at 1100</t>
  </si>
  <si>
    <t>QUALITATIVE DATA</t>
  </si>
  <si>
    <t>Articles</t>
  </si>
  <si>
    <t>Interviews</t>
  </si>
  <si>
    <t>AnnRpt</t>
  </si>
  <si>
    <t>Results</t>
  </si>
  <si>
    <t>Presnt'n</t>
  </si>
  <si>
    <t>Earnings Call</t>
  </si>
  <si>
    <t>2022-2023</t>
  </si>
  <si>
    <t xml:space="preserve"> - Revenue for Q1 FY24 grew by 13.1% YoY to Rs. 407 Cr
 - Gross Margin for Q1 FY24 is at 54.8%
 - EBITDA for Q1 FY24 is Rs. 139 Cr; EBITDA margins at 34.0%
 - Q1 FY24 PAT is at Rs. 104 Cr up 20.8% YoY
 - Cash and Cash equivalents at Rs. 808 Cr as of 30th June 2023;
 - Cash flow From Operations at Rs 88 Cr for Q1 FY24 ended 30th June 2023; Capex for Q1 FY24 is at Rs 51 Cr.; Free cash flow forthe period was Rs 37 Cr
 - Basic EPS grew by 21% to Rs. 13.62 in Q1 FY24 against Rs. 11.21 in Q1 FY23
 - Receivable stood at 97 days
 - Geographical breakup of sales: LATAM &amp; ROW 88%, US 12%</t>
  </si>
  <si>
    <t>Con Call Highlights</t>
  </si>
  <si>
    <t xml:space="preserve"> - Company’s Latin America business continues robust growth in top and bottom line, with further enhancement in cashflow cycle at a higher base
 - Additional Softgel capacity from CP-1 site expansion helps cement Caplin’s strong position in this segment in multiple markets, with very quick payback
 - Company enters highly attractive Pre-Filled Syringe market in LatAm, with launch of 8 new products this year
 - Company Brand Marketing segment at Latin America starts to gain momentum, and meaningful revenue and bottom-line contribution expected in FY25
 - Bioequivalence studies for multiple own Branded products completed at Amaris Clinical, company’s CRO arm. This move would significantly enhance products’ marketability
 - Company receives major orders for Speciality products from LatAm. Order would be serviced using CMOs initially, before moving to own high potent site in the next few months
 - Development of 70+ APIs both in General Category and Oncology completed at R&amp;D scale, to be scaled up when Company’s API units go on stream in the next few months
 - Company entry into newer markets of SE Asia &amp; CIS continues to gather momentum with new orders being received recently
 - Company makes progress on establishing front end in the US with incorporation of Caplin Steriles USA Inc ongoing, as a subsidiary of Caplin Steriles Ltd. Licensing and other incorporation formalities to be completed within 6-8 months
 - Post incorporation of front end, Company plans to launch own label for 15+ products within the first 12 months in the US
 - Caplin Steriles’ (CSL) Operating Revenue in Q1 FY24 crosses Rs. 46 Cr, with a growth of 12.2% YoY. Company expects next Quarters to show higher progress on revenues, with new manufacturing lines being qualified to cater to additional demand 
 - Revenue breakup is a healthy mix of Product supply and Milestone + Profit Share, with current split for Q1 FY24 at around 65:35
 - With a healthy order book, Company targets 40-50% growth in revenues in FY24. Increase in revenues targeted through new product launches and higher market share from current products
 - Company has 7 ANDAs under review with FDA as on date, which includes Injectables and Ophthalmics. Company has 23 ANDA approvals in total, with 18 in CSL name
 - Company plans to file 10+ ANDAs in the next 12 months, which include Emulsion Injections, Suspension Injections, Emulsion Ophthalmic and Injectable Bags
 - Overall development pipeline remains robust, with 55+ ANDAs under development with an addressable market in US at over $5 Billion</t>
  </si>
  <si>
    <t xml:space="preserve"> - Revenue: ₹4.10b (up 14% from 2Q 2023).
 - Net income: ₹1.15b (up 25% from 2Q 2023).
 - Profit margin: 28% (up from 26% in 2Q 2023). The increase in margin was driven by higher revenue.
 - EPS: ₹15.13 (up from ₹12.09 in 2Q 2023).
 - Receivable stood at 97 days</t>
  </si>
  <si>
    <t xml:space="preserve"> - Company’s unique end to end business model in LatAm continues to drive robust growth in top and bottom line, with new product launches supporting growth in profits.
 - Current breakup of revenue segments at LatAm:
      Wholesalers : 55%, Direct to Retail : 25%. Institutional : 20%
 - Company starts to supply major orders for Specialty products in LatAm, serviced using CMOs before transitioning to the Company's own high potent manufacturing site in the coming months.
 - Successfully completed the development of 80+ APIs in both General Category and Oncology at R&amp;D scale, ready to be scaled up once the API units go live in the coming months
USA and Regulated Markets
 - Company’s high speed Vial filling line from new expansion Capex commercialized, which will further boost revenues in the coming quarters.
 - Company has filed 3 Ready-ToUse Bag products with FDA, a niche segment with limited competition. Company has also filed its first Emulsion injection with partner, with FDA
 - Company’s current revenue mix remains stable with 70% from Product supplies and 30% from Milestone and Profit-share.
 - Company establishes Caplin Steriles USA Inc at Hamilton, New Jersey, the front-end arm of Caplin Steriles Ltd. Licensing process for all 50 states underway. Plans to launch 15+ own-label products in the US within the first 12 months of incorporation
 - Company will be filing additional products in niche categories in the coming months, comprising of Suspension Injectables, Emulsion Injectables, Emulsion Ophthalmic and Plastic Vial injections, within 2 Quarters
 - Looking ahead, revenue is forecast to grow 13% p.a. on average during the next 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</si>
</sst>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mmmm/yy"/>
    <numFmt numFmtId="165" formatCode="[$-409]d\-mmm\-yy"/>
    <numFmt numFmtId="166" formatCode="0.000%"/>
  </numFmts>
  <fonts count="34" x14ac:knownFonts="1">
    <font>
      <sz val="11"/>
      <name val="Calibri"/>
      <scheme val="minor"/>
    </font>
    <font>
      <sz val="11"/>
      <color theme="1"/>
      <name val="Calibri"/>
      <family val="2"/>
      <scheme val="minor"/>
    </font>
    <font>
      <sz val="11"/>
      <color theme="1"/>
      <name val="Calibri"/>
      <family val="2"/>
      <scheme val="minor"/>
    </font>
    <font>
      <sz val="11"/>
      <name val="Calibri"/>
      <family val="2"/>
    </font>
    <font>
      <b/>
      <sz val="11"/>
      <name val="Calibri"/>
      <family val="2"/>
    </font>
    <font>
      <sz val="11"/>
      <name val="Calibri"/>
      <family val="2"/>
    </font>
    <font>
      <sz val="11"/>
      <name val="Calibri"/>
      <family val="2"/>
    </font>
    <font>
      <b/>
      <u/>
      <sz val="11"/>
      <name val="Calibri"/>
      <family val="2"/>
    </font>
    <font>
      <i/>
      <sz val="11"/>
      <name val="Calibri"/>
      <family val="2"/>
    </font>
    <font>
      <u/>
      <sz val="11"/>
      <name val="Calibri"/>
      <family val="2"/>
    </font>
    <font>
      <u/>
      <sz val="11"/>
      <name val="Calibri"/>
      <family val="2"/>
    </font>
    <font>
      <u/>
      <sz val="11"/>
      <color theme="10"/>
      <name val="Calibri"/>
      <family val="2"/>
      <scheme val="minor"/>
    </font>
    <font>
      <sz val="11"/>
      <name val="Calibri"/>
      <family val="2"/>
    </font>
    <font>
      <b/>
      <u/>
      <sz val="11"/>
      <color theme="10"/>
      <name val="Calibri"/>
      <family val="2"/>
      <scheme val="minor"/>
    </font>
    <font>
      <b/>
      <sz val="11"/>
      <name val="Calibri"/>
      <family val="2"/>
    </font>
    <font>
      <sz val="11"/>
      <name val="Calibri"/>
      <family val="2"/>
      <scheme val="minor"/>
    </font>
    <font>
      <b/>
      <sz val="14"/>
      <name val="Calibri"/>
      <family val="2"/>
    </font>
    <font>
      <sz val="11"/>
      <name val="Calibri"/>
      <family val="2"/>
      <scheme val="minor"/>
    </font>
    <font>
      <sz val="11"/>
      <color theme="1"/>
      <name val="Calibri"/>
      <family val="2"/>
    </font>
    <font>
      <b/>
      <sz val="10"/>
      <name val="Arial"/>
      <family val="2"/>
    </font>
    <font>
      <sz val="10"/>
      <name val="Arial"/>
      <family val="2"/>
    </font>
    <font>
      <sz val="11"/>
      <name val="Century Gothic"/>
      <family val="2"/>
    </font>
    <font>
      <b/>
      <i/>
      <u/>
      <sz val="10"/>
      <name val="Arial"/>
      <family val="2"/>
    </font>
    <font>
      <sz val="10"/>
      <color rgb="FFC00000"/>
      <name val="Arial"/>
      <family val="2"/>
    </font>
    <font>
      <i/>
      <sz val="10"/>
      <color rgb="FFC00000"/>
      <name val="Arial"/>
      <family val="2"/>
    </font>
    <font>
      <b/>
      <sz val="11"/>
      <name val="Century Gothic"/>
      <family val="2"/>
    </font>
    <font>
      <b/>
      <i/>
      <sz val="10"/>
      <name val="Arial"/>
      <family val="2"/>
    </font>
    <font>
      <sz val="10"/>
      <color theme="1"/>
      <name val="Arial"/>
      <family val="2"/>
    </font>
    <font>
      <sz val="10"/>
      <color rgb="FFFF0000"/>
      <name val="Arial"/>
      <family val="2"/>
    </font>
    <font>
      <u/>
      <sz val="11"/>
      <color theme="10"/>
      <name val="Calibri"/>
      <family val="2"/>
      <scheme val="minor"/>
    </font>
    <font>
      <sz val="10"/>
      <color rgb="FF002060"/>
      <name val="Arial"/>
      <family val="2"/>
    </font>
    <font>
      <b/>
      <u/>
      <sz val="10"/>
      <name val="Arial"/>
      <family val="2"/>
    </font>
    <font>
      <b/>
      <sz val="11"/>
      <name val="Calibri"/>
      <family val="2"/>
      <scheme val="minor"/>
    </font>
    <font>
      <b/>
      <sz val="10"/>
      <color rgb="FFC00000"/>
      <name val="Arial"/>
      <family val="2"/>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C0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0" fontId="11" fillId="0" borderId="0" applyNumberFormat="0" applyFill="0" applyBorder="0" applyAlignment="0" applyProtection="0"/>
    <xf numFmtId="9" fontId="17" fillId="0" borderId="0" applyFont="0" applyFill="0" applyBorder="0" applyAlignment="0" applyProtection="0"/>
    <xf numFmtId="0" fontId="15" fillId="0" borderId="5"/>
    <xf numFmtId="9" fontId="15" fillId="0" borderId="5" applyFont="0" applyFill="0" applyBorder="0" applyAlignment="0" applyProtection="0"/>
    <xf numFmtId="43" fontId="15" fillId="0" borderId="5" applyFont="0" applyFill="0" applyBorder="0" applyAlignment="0" applyProtection="0"/>
    <xf numFmtId="0" fontId="29" fillId="0" borderId="5" applyNumberFormat="0" applyFill="0" applyBorder="0" applyAlignment="0" applyProtection="0"/>
    <xf numFmtId="0" fontId="11" fillId="0" borderId="5" applyNumberFormat="0" applyFill="0" applyBorder="0" applyAlignment="0" applyProtection="0"/>
  </cellStyleXfs>
  <cellXfs count="183">
    <xf numFmtId="0" fontId="0" fillId="0" borderId="0" xfId="0"/>
    <xf numFmtId="0" fontId="3" fillId="0" borderId="0" xfId="0" applyFont="1" applyAlignment="1">
      <alignment horizontal="left"/>
    </xf>
    <xf numFmtId="0" fontId="3" fillId="0" borderId="1" xfId="0" applyFont="1" applyBorder="1" applyAlignment="1">
      <alignment vertical="top" wrapText="1"/>
    </xf>
    <xf numFmtId="164" fontId="3" fillId="0" borderId="1" xfId="0" applyNumberFormat="1"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xf>
    <xf numFmtId="0" fontId="3" fillId="0" borderId="1" xfId="0" applyFont="1" applyBorder="1"/>
    <xf numFmtId="0" fontId="4" fillId="0" borderId="1" xfId="0" applyFont="1" applyBorder="1" applyAlignment="1">
      <alignment horizontal="left"/>
    </xf>
    <xf numFmtId="2" fontId="5" fillId="0" borderId="1" xfId="0" applyNumberFormat="1" applyFont="1" applyBorder="1" applyAlignment="1">
      <alignment horizontal="left" wrapText="1"/>
    </xf>
    <xf numFmtId="14" fontId="3" fillId="0" borderId="1" xfId="0" applyNumberFormat="1" applyFont="1" applyBorder="1" applyAlignment="1">
      <alignment horizontal="left"/>
    </xf>
    <xf numFmtId="0" fontId="4" fillId="0" borderId="1" xfId="0" applyFont="1" applyBorder="1" applyAlignment="1">
      <alignment wrapText="1"/>
    </xf>
    <xf numFmtId="0" fontId="3" fillId="0" borderId="1" xfId="0" applyFont="1" applyBorder="1" applyAlignment="1">
      <alignment wrapText="1"/>
    </xf>
    <xf numFmtId="0" fontId="3" fillId="0" borderId="0" xfId="0" applyFont="1" applyAlignment="1">
      <alignment vertical="top"/>
    </xf>
    <xf numFmtId="0" fontId="7" fillId="0" borderId="1" xfId="0" applyFont="1" applyBorder="1" applyAlignment="1">
      <alignment vertical="top" wrapText="1"/>
    </xf>
    <xf numFmtId="0" fontId="8" fillId="0" borderId="1" xfId="0" applyFont="1" applyBorder="1"/>
    <xf numFmtId="0" fontId="3" fillId="0" borderId="6" xfId="0" applyFont="1" applyBorder="1"/>
    <xf numFmtId="0" fontId="3" fillId="0" borderId="0" xfId="0" applyFont="1" applyAlignment="1">
      <alignment wrapText="1"/>
    </xf>
    <xf numFmtId="0" fontId="9" fillId="0" borderId="0" xfId="0" applyFont="1"/>
    <xf numFmtId="0" fontId="10" fillId="0" borderId="0" xfId="0" applyFont="1"/>
    <xf numFmtId="0" fontId="11" fillId="0" borderId="1" xfId="1" applyBorder="1" applyAlignment="1">
      <alignment horizontal="left"/>
    </xf>
    <xf numFmtId="164" fontId="11" fillId="0" borderId="1" xfId="1" applyNumberFormat="1" applyBorder="1" applyAlignment="1">
      <alignment horizontal="left" wrapText="1"/>
    </xf>
    <xf numFmtId="0" fontId="12" fillId="0" borderId="1" xfId="0" applyFont="1" applyBorder="1"/>
    <xf numFmtId="0" fontId="13" fillId="0" borderId="0" xfId="1" applyFont="1" applyAlignment="1"/>
    <xf numFmtId="0" fontId="12" fillId="0" borderId="1" xfId="0" applyFont="1" applyBorder="1" applyAlignment="1">
      <alignment wrapText="1"/>
    </xf>
    <xf numFmtId="0" fontId="3" fillId="2" borderId="1" xfId="0" applyFont="1" applyFill="1" applyBorder="1" applyAlignment="1">
      <alignment vertical="top" wrapText="1"/>
    </xf>
    <xf numFmtId="0" fontId="3" fillId="2" borderId="5" xfId="0" applyFont="1" applyFill="1" applyBorder="1"/>
    <xf numFmtId="0" fontId="0" fillId="3" borderId="0" xfId="0" applyFill="1"/>
    <xf numFmtId="0" fontId="16" fillId="0" borderId="0" xfId="0" applyFont="1"/>
    <xf numFmtId="17" fontId="11" fillId="0" borderId="1" xfId="1" applyNumberFormat="1" applyBorder="1" applyAlignment="1">
      <alignment horizontal="left"/>
    </xf>
    <xf numFmtId="0" fontId="12" fillId="0" borderId="1" xfId="0" applyFont="1" applyBorder="1" applyAlignment="1">
      <alignment vertical="top" wrapText="1"/>
    </xf>
    <xf numFmtId="0" fontId="14" fillId="0" borderId="1" xfId="0" applyFont="1" applyBorder="1" applyAlignment="1">
      <alignment wrapText="1"/>
    </xf>
    <xf numFmtId="164" fontId="12" fillId="0" borderId="1" xfId="0" applyNumberFormat="1" applyFont="1" applyBorder="1" applyAlignment="1">
      <alignment horizontal="left" wrapText="1"/>
    </xf>
    <xf numFmtId="10" fontId="5" fillId="0" borderId="1" xfId="2" applyNumberFormat="1" applyFont="1" applyBorder="1" applyAlignment="1">
      <alignment horizontal="left" wrapText="1"/>
    </xf>
    <xf numFmtId="0" fontId="19" fillId="0" borderId="5" xfId="3" applyFont="1" applyAlignment="1">
      <alignment wrapText="1"/>
    </xf>
    <xf numFmtId="0" fontId="20" fillId="0" borderId="5" xfId="3" applyFont="1" applyAlignment="1">
      <alignment wrapText="1"/>
    </xf>
    <xf numFmtId="0" fontId="21" fillId="0" borderId="5" xfId="3" applyFont="1" applyAlignment="1">
      <alignment wrapText="1"/>
    </xf>
    <xf numFmtId="0" fontId="19" fillId="0" borderId="8" xfId="3" applyFont="1" applyBorder="1" applyAlignment="1">
      <alignment wrapText="1"/>
    </xf>
    <xf numFmtId="0" fontId="19" fillId="0" borderId="8" xfId="3" applyFont="1" applyBorder="1" applyAlignment="1">
      <alignment horizontal="center" vertical="top" wrapText="1"/>
    </xf>
    <xf numFmtId="0" fontId="19" fillId="0" borderId="8" xfId="3" applyFont="1" applyBorder="1" applyAlignment="1">
      <alignment horizontal="center" wrapText="1"/>
    </xf>
    <xf numFmtId="0" fontId="22" fillId="0" borderId="8" xfId="3" applyFont="1" applyBorder="1" applyAlignment="1">
      <alignment vertical="top" wrapText="1"/>
    </xf>
    <xf numFmtId="4" fontId="20" fillId="0" borderId="8" xfId="3" applyNumberFormat="1" applyFont="1" applyBorder="1" applyAlignment="1">
      <alignment horizontal="right" wrapText="1"/>
    </xf>
    <xf numFmtId="164" fontId="20" fillId="0" borderId="8" xfId="3" applyNumberFormat="1" applyFont="1" applyBorder="1" applyAlignment="1">
      <alignment horizontal="left" wrapText="1"/>
    </xf>
    <xf numFmtId="0" fontId="20" fillId="0" borderId="8" xfId="3" applyFont="1" applyBorder="1" applyAlignment="1">
      <alignment wrapText="1"/>
    </xf>
    <xf numFmtId="2" fontId="23" fillId="0" borderId="8" xfId="3" applyNumberFormat="1" applyFont="1" applyBorder="1" applyAlignment="1">
      <alignment vertical="top" wrapText="1"/>
    </xf>
    <xf numFmtId="2" fontId="20" fillId="0" borderId="8" xfId="3" applyNumberFormat="1" applyFont="1" applyBorder="1" applyAlignment="1">
      <alignment horizontal="right" wrapText="1"/>
    </xf>
    <xf numFmtId="2" fontId="20" fillId="0" borderId="8" xfId="3" applyNumberFormat="1" applyFont="1" applyBorder="1" applyAlignment="1">
      <alignment horizontal="left" wrapText="1"/>
    </xf>
    <xf numFmtId="2" fontId="20" fillId="0" borderId="8" xfId="3" applyNumberFormat="1" applyFont="1" applyBorder="1" applyAlignment="1">
      <alignment wrapText="1"/>
    </xf>
    <xf numFmtId="2" fontId="21" fillId="0" borderId="5" xfId="3" applyNumberFormat="1" applyFont="1" applyAlignment="1">
      <alignment wrapText="1"/>
    </xf>
    <xf numFmtId="9" fontId="20" fillId="0" borderId="8" xfId="4" applyFont="1" applyBorder="1" applyAlignment="1">
      <alignment vertical="top" wrapText="1"/>
    </xf>
    <xf numFmtId="9" fontId="20" fillId="0" borderId="8" xfId="4" applyFont="1" applyBorder="1" applyAlignment="1">
      <alignment horizontal="right" wrapText="1"/>
    </xf>
    <xf numFmtId="9" fontId="21" fillId="0" borderId="5" xfId="4" applyFont="1" applyAlignment="1">
      <alignment wrapText="1"/>
    </xf>
    <xf numFmtId="43" fontId="23" fillId="0" borderId="8" xfId="5" applyFont="1" applyBorder="1" applyAlignment="1">
      <alignment vertical="top" wrapText="1"/>
    </xf>
    <xf numFmtId="43" fontId="20" fillId="0" borderId="8" xfId="5" applyFont="1" applyBorder="1" applyAlignment="1">
      <alignment horizontal="right" wrapText="1"/>
    </xf>
    <xf numFmtId="43" fontId="21" fillId="0" borderId="5" xfId="5" applyFont="1" applyAlignment="1">
      <alignment wrapText="1"/>
    </xf>
    <xf numFmtId="10" fontId="20" fillId="0" borderId="8" xfId="4" applyNumberFormat="1" applyFont="1" applyBorder="1" applyAlignment="1">
      <alignment wrapText="1"/>
    </xf>
    <xf numFmtId="10" fontId="21" fillId="0" borderId="5" xfId="4" applyNumberFormat="1" applyFont="1" applyAlignment="1">
      <alignment wrapText="1"/>
    </xf>
    <xf numFmtId="0" fontId="23" fillId="0" borderId="8" xfId="3" applyFont="1" applyBorder="1" applyAlignment="1">
      <alignment vertical="top" wrapText="1"/>
    </xf>
    <xf numFmtId="2" fontId="20" fillId="0" borderId="8" xfId="3" applyNumberFormat="1" applyFont="1" applyBorder="1" applyAlignment="1">
      <alignment vertical="top" wrapText="1"/>
    </xf>
    <xf numFmtId="43" fontId="20" fillId="3" borderId="8" xfId="5" applyFont="1" applyFill="1" applyBorder="1" applyAlignment="1">
      <alignment horizontal="right" wrapText="1"/>
    </xf>
    <xf numFmtId="43" fontId="20" fillId="3" borderId="8" xfId="5" applyFont="1" applyFill="1" applyBorder="1" applyAlignment="1">
      <alignment wrapText="1"/>
    </xf>
    <xf numFmtId="43" fontId="20" fillId="0" borderId="8" xfId="5" applyFont="1" applyBorder="1" applyAlignment="1">
      <alignment wrapText="1"/>
    </xf>
    <xf numFmtId="0" fontId="25" fillId="0" borderId="5" xfId="3" applyFont="1" applyAlignment="1">
      <alignment wrapText="1"/>
    </xf>
    <xf numFmtId="0" fontId="20" fillId="0" borderId="8" xfId="3" applyFont="1" applyBorder="1" applyAlignment="1">
      <alignment vertical="top" wrapText="1"/>
    </xf>
    <xf numFmtId="10" fontId="20" fillId="0" borderId="8" xfId="4" applyNumberFormat="1" applyFont="1" applyBorder="1" applyAlignment="1">
      <alignment horizontal="right" wrapText="1"/>
    </xf>
    <xf numFmtId="0" fontId="26" fillId="0" borderId="8" xfId="3" applyFont="1" applyBorder="1" applyAlignment="1">
      <alignment vertical="top" wrapText="1"/>
    </xf>
    <xf numFmtId="10" fontId="20" fillId="0" borderId="5" xfId="4" applyNumberFormat="1" applyFont="1" applyAlignment="1">
      <alignment wrapText="1"/>
    </xf>
    <xf numFmtId="43" fontId="20" fillId="4" borderId="8" xfId="5" applyFont="1" applyFill="1" applyBorder="1" applyAlignment="1">
      <alignment horizontal="right" wrapText="1"/>
    </xf>
    <xf numFmtId="43" fontId="20" fillId="4" borderId="8" xfId="5" applyFont="1" applyFill="1" applyBorder="1" applyAlignment="1">
      <alignment wrapText="1"/>
    </xf>
    <xf numFmtId="1" fontId="23" fillId="0" borderId="8" xfId="3" applyNumberFormat="1" applyFont="1" applyBorder="1" applyAlignment="1">
      <alignment vertical="top" wrapText="1"/>
    </xf>
    <xf numFmtId="0" fontId="27" fillId="0" borderId="8" xfId="3" applyFont="1" applyBorder="1" applyAlignment="1">
      <alignment vertical="top" wrapText="1"/>
    </xf>
    <xf numFmtId="10" fontId="20" fillId="4" borderId="8" xfId="4" applyNumberFormat="1" applyFont="1" applyFill="1" applyBorder="1" applyAlignment="1">
      <alignment wrapText="1"/>
    </xf>
    <xf numFmtId="10" fontId="20" fillId="3" borderId="8" xfId="4" applyNumberFormat="1" applyFont="1" applyFill="1" applyBorder="1" applyAlignment="1">
      <alignment wrapText="1"/>
    </xf>
    <xf numFmtId="0" fontId="19" fillId="0" borderId="9" xfId="3" applyFont="1" applyBorder="1" applyAlignment="1">
      <alignment wrapText="1"/>
    </xf>
    <xf numFmtId="0" fontId="20" fillId="0" borderId="9" xfId="3" applyFont="1" applyBorder="1" applyAlignment="1">
      <alignment wrapText="1"/>
    </xf>
    <xf numFmtId="0" fontId="19" fillId="0" borderId="7" xfId="3" applyFont="1" applyBorder="1" applyAlignment="1">
      <alignment vertical="top" wrapText="1"/>
    </xf>
    <xf numFmtId="165" fontId="20" fillId="0" borderId="7" xfId="3" applyNumberFormat="1" applyFont="1" applyBorder="1" applyAlignment="1">
      <alignment horizontal="left" wrapText="1"/>
    </xf>
    <xf numFmtId="0" fontId="15" fillId="0" borderId="8" xfId="3" applyBorder="1"/>
    <xf numFmtId="1" fontId="20" fillId="0" borderId="5" xfId="3" applyNumberFormat="1" applyFont="1" applyAlignment="1">
      <alignment wrapText="1"/>
    </xf>
    <xf numFmtId="1" fontId="20" fillId="0" borderId="8" xfId="3" applyNumberFormat="1" applyFont="1" applyBorder="1" applyAlignment="1">
      <alignment vertical="top" wrapText="1"/>
    </xf>
    <xf numFmtId="166" fontId="20" fillId="0" borderId="8" xfId="4" applyNumberFormat="1" applyFont="1" applyBorder="1" applyAlignment="1">
      <alignment horizontal="right" wrapText="1"/>
    </xf>
    <xf numFmtId="166" fontId="20" fillId="0" borderId="5" xfId="4" applyNumberFormat="1" applyFont="1" applyAlignment="1">
      <alignment wrapText="1"/>
    </xf>
    <xf numFmtId="1" fontId="20" fillId="0" borderId="8" xfId="3" applyNumberFormat="1" applyFont="1" applyBorder="1" applyAlignment="1">
      <alignment horizontal="right" wrapText="1"/>
    </xf>
    <xf numFmtId="43" fontId="28" fillId="4" borderId="8" xfId="5" applyFont="1" applyFill="1" applyBorder="1" applyAlignment="1">
      <alignment horizontal="right" wrapText="1"/>
    </xf>
    <xf numFmtId="1" fontId="20" fillId="4" borderId="8" xfId="3" applyNumberFormat="1" applyFont="1" applyFill="1" applyBorder="1" applyAlignment="1">
      <alignment horizontal="right" wrapText="1"/>
    </xf>
    <xf numFmtId="0" fontId="20" fillId="4" borderId="8" xfId="3" applyFont="1" applyFill="1" applyBorder="1" applyAlignment="1">
      <alignment horizontal="left" wrapText="1"/>
    </xf>
    <xf numFmtId="166" fontId="20" fillId="4" borderId="8" xfId="4" applyNumberFormat="1" applyFont="1" applyFill="1" applyBorder="1" applyAlignment="1">
      <alignment horizontal="right" wrapText="1"/>
    </xf>
    <xf numFmtId="0" fontId="20" fillId="4" borderId="8" xfId="3" applyFont="1" applyFill="1" applyBorder="1" applyAlignment="1">
      <alignment horizontal="right" wrapText="1"/>
    </xf>
    <xf numFmtId="2" fontId="20" fillId="0" borderId="5" xfId="3" applyNumberFormat="1" applyFont="1" applyAlignment="1">
      <alignment wrapText="1"/>
    </xf>
    <xf numFmtId="9" fontId="20" fillId="4" borderId="8" xfId="4" applyFont="1" applyFill="1" applyBorder="1" applyAlignment="1">
      <alignment vertical="top" wrapText="1"/>
    </xf>
    <xf numFmtId="9" fontId="29" fillId="0" borderId="8" xfId="6" applyNumberFormat="1" applyBorder="1" applyAlignment="1">
      <alignment vertical="top" wrapText="1"/>
    </xf>
    <xf numFmtId="0" fontId="29" fillId="0" borderId="5" xfId="6" applyAlignment="1">
      <alignment horizontal="left" wrapText="1"/>
    </xf>
    <xf numFmtId="0" fontId="19" fillId="0" borderId="5" xfId="3" applyFont="1" applyAlignment="1">
      <alignment horizontal="center" wrapText="1"/>
    </xf>
    <xf numFmtId="9" fontId="20" fillId="0" borderId="5" xfId="4" applyFont="1" applyBorder="1" applyAlignment="1">
      <alignment vertical="top" wrapText="1"/>
    </xf>
    <xf numFmtId="0" fontId="19" fillId="0" borderId="9" xfId="0" applyFont="1" applyBorder="1" applyAlignment="1">
      <alignment wrapText="1"/>
    </xf>
    <xf numFmtId="0" fontId="20" fillId="0" borderId="9" xfId="0" applyFont="1" applyBorder="1" applyAlignment="1">
      <alignment wrapText="1"/>
    </xf>
    <xf numFmtId="0" fontId="21" fillId="0" borderId="0" xfId="0" applyFont="1" applyAlignment="1">
      <alignment wrapText="1"/>
    </xf>
    <xf numFmtId="0" fontId="19" fillId="0" borderId="7" xfId="0" applyFont="1" applyBorder="1" applyAlignment="1">
      <alignment vertical="top" wrapText="1"/>
    </xf>
    <xf numFmtId="165" fontId="20" fillId="0" borderId="7" xfId="0" applyNumberFormat="1" applyFont="1" applyBorder="1" applyAlignment="1">
      <alignment horizontal="left" wrapText="1"/>
    </xf>
    <xf numFmtId="0" fontId="22" fillId="0" borderId="8" xfId="0" applyFont="1" applyBorder="1" applyAlignment="1">
      <alignment vertical="top" wrapText="1"/>
    </xf>
    <xf numFmtId="164" fontId="20" fillId="0" borderId="8" xfId="0" applyNumberFormat="1" applyFont="1" applyBorder="1" applyAlignment="1">
      <alignment horizontal="left" wrapText="1"/>
    </xf>
    <xf numFmtId="0" fontId="20" fillId="0" borderId="8" xfId="0" applyFont="1" applyBorder="1" applyAlignment="1">
      <alignment wrapText="1"/>
    </xf>
    <xf numFmtId="0" fontId="30" fillId="0" borderId="8" xfId="0" applyFont="1" applyBorder="1" applyAlignment="1">
      <alignment vertical="top" wrapText="1"/>
    </xf>
    <xf numFmtId="1" fontId="15" fillId="0" borderId="8" xfId="0" applyNumberFormat="1" applyFont="1" applyBorder="1" applyAlignment="1">
      <alignment horizontal="left" wrapText="1"/>
    </xf>
    <xf numFmtId="1" fontId="15" fillId="0" borderId="8" xfId="0" applyNumberFormat="1" applyFont="1" applyBorder="1" applyAlignment="1">
      <alignment wrapText="1"/>
    </xf>
    <xf numFmtId="1" fontId="30" fillId="0" borderId="8" xfId="0" applyNumberFormat="1" applyFont="1" applyBorder="1" applyAlignment="1">
      <alignment horizontal="left" vertical="top" wrapText="1" indent="1"/>
    </xf>
    <xf numFmtId="1" fontId="2" fillId="0" borderId="8" xfId="0" applyNumberFormat="1" applyFont="1" applyBorder="1"/>
    <xf numFmtId="1" fontId="2" fillId="0" borderId="8" xfId="5" applyNumberFormat="1" applyFont="1" applyFill="1" applyBorder="1" applyAlignment="1">
      <alignment horizontal="right" wrapText="1"/>
    </xf>
    <xf numFmtId="1" fontId="2" fillId="0" borderId="8" xfId="4" applyNumberFormat="1" applyFont="1" applyFill="1" applyBorder="1" applyAlignment="1">
      <alignment horizontal="right" wrapText="1"/>
    </xf>
    <xf numFmtId="1" fontId="2" fillId="0" borderId="8" xfId="0" applyNumberFormat="1" applyFont="1" applyBorder="1" applyAlignment="1">
      <alignment horizontal="right" wrapText="1"/>
    </xf>
    <xf numFmtId="1" fontId="30" fillId="0" borderId="8" xfId="0" applyNumberFormat="1" applyFont="1" applyBorder="1" applyAlignment="1">
      <alignment vertical="top" wrapText="1"/>
    </xf>
    <xf numFmtId="1" fontId="2" fillId="0" borderId="8" xfId="0" applyNumberFormat="1" applyFont="1" applyBorder="1" applyAlignment="1">
      <alignment horizontal="left" wrapText="1"/>
    </xf>
    <xf numFmtId="9" fontId="30" fillId="0" borderId="8" xfId="4" applyFont="1" applyBorder="1" applyAlignment="1">
      <alignment vertical="top" wrapText="1"/>
    </xf>
    <xf numFmtId="2" fontId="30" fillId="0" borderId="8" xfId="0" applyNumberFormat="1" applyFont="1" applyBorder="1" applyAlignment="1">
      <alignment vertical="top" wrapText="1"/>
    </xf>
    <xf numFmtId="0" fontId="31" fillId="0" borderId="8" xfId="0" applyFont="1" applyBorder="1" applyAlignment="1">
      <alignment vertical="top" wrapText="1"/>
    </xf>
    <xf numFmtId="1" fontId="32" fillId="0" borderId="8" xfId="0" applyNumberFormat="1" applyFont="1" applyBorder="1" applyAlignment="1">
      <alignment wrapText="1"/>
    </xf>
    <xf numFmtId="2" fontId="22" fillId="0" borderId="8" xfId="0" applyNumberFormat="1" applyFont="1" applyBorder="1" applyAlignment="1">
      <alignment vertical="top" wrapText="1"/>
    </xf>
    <xf numFmtId="2" fontId="20" fillId="0" borderId="8" xfId="0" applyNumberFormat="1" applyFont="1" applyBorder="1" applyAlignment="1">
      <alignment horizontal="left" vertical="top" wrapText="1"/>
    </xf>
    <xf numFmtId="43" fontId="20" fillId="0" borderId="5" xfId="5" applyFont="1" applyBorder="1" applyAlignment="1">
      <alignment horizontal="left"/>
    </xf>
    <xf numFmtId="2" fontId="23" fillId="0" borderId="8" xfId="0" applyNumberFormat="1" applyFont="1" applyBorder="1" applyAlignment="1">
      <alignment vertical="top" wrapText="1"/>
    </xf>
    <xf numFmtId="2" fontId="20" fillId="0" borderId="8" xfId="0" applyNumberFormat="1" applyFont="1" applyBorder="1" applyAlignment="1">
      <alignment horizontal="right" wrapText="1"/>
    </xf>
    <xf numFmtId="0" fontId="24" fillId="0" borderId="8" xfId="0" applyFont="1" applyBorder="1" applyAlignment="1">
      <alignment vertical="top" wrapText="1"/>
    </xf>
    <xf numFmtId="0" fontId="23" fillId="0" borderId="8" xfId="0" applyFont="1" applyBorder="1" applyAlignment="1">
      <alignment vertical="top" wrapText="1"/>
    </xf>
    <xf numFmtId="10" fontId="20" fillId="0" borderId="8" xfId="0" applyNumberFormat="1" applyFont="1" applyBorder="1" applyAlignment="1">
      <alignment wrapText="1"/>
    </xf>
    <xf numFmtId="2" fontId="20" fillId="0" borderId="8" xfId="0" applyNumberFormat="1" applyFont="1" applyBorder="1" applyAlignment="1">
      <alignment wrapText="1"/>
    </xf>
    <xf numFmtId="2" fontId="20" fillId="0" borderId="8" xfId="0" applyNumberFormat="1" applyFont="1" applyBorder="1" applyAlignment="1">
      <alignment vertical="top" wrapText="1"/>
    </xf>
    <xf numFmtId="43" fontId="21" fillId="0" borderId="8" xfId="5" applyFont="1" applyBorder="1" applyAlignment="1">
      <alignment wrapText="1"/>
    </xf>
    <xf numFmtId="1" fontId="23" fillId="0" borderId="8" xfId="0" applyNumberFormat="1" applyFont="1" applyBorder="1" applyAlignment="1">
      <alignment vertical="top" wrapText="1"/>
    </xf>
    <xf numFmtId="0" fontId="20" fillId="4" borderId="8" xfId="0" applyFont="1" applyFill="1" applyBorder="1" applyAlignment="1">
      <alignment horizontal="right" wrapText="1"/>
    </xf>
    <xf numFmtId="10" fontId="20" fillId="3" borderId="8" xfId="4" applyNumberFormat="1" applyFont="1" applyFill="1" applyBorder="1" applyAlignment="1">
      <alignment horizontal="right" vertical="top" wrapText="1"/>
    </xf>
    <xf numFmtId="10" fontId="20" fillId="4" borderId="8" xfId="4" applyNumberFormat="1" applyFont="1" applyFill="1" applyBorder="1" applyAlignment="1">
      <alignment horizontal="right" wrapText="1"/>
    </xf>
    <xf numFmtId="2" fontId="20" fillId="4" borderId="8" xfId="3" applyNumberFormat="1" applyFont="1" applyFill="1" applyBorder="1" applyAlignment="1">
      <alignment horizontal="right" wrapText="1"/>
    </xf>
    <xf numFmtId="2" fontId="20" fillId="4" borderId="8" xfId="3" applyNumberFormat="1" applyFont="1" applyFill="1" applyBorder="1" applyAlignment="1">
      <alignment wrapText="1"/>
    </xf>
    <xf numFmtId="9" fontId="11" fillId="0" borderId="8" xfId="1" applyNumberFormat="1" applyBorder="1" applyAlignment="1">
      <alignment vertical="top" wrapText="1"/>
    </xf>
    <xf numFmtId="0" fontId="12" fillId="0" borderId="2" xfId="0" applyFont="1" applyBorder="1" applyAlignment="1">
      <alignment horizontal="left" wrapText="1"/>
    </xf>
    <xf numFmtId="0" fontId="6" fillId="0" borderId="3" xfId="0" applyFont="1" applyBorder="1"/>
    <xf numFmtId="0" fontId="6" fillId="0" borderId="4" xfId="0" applyFont="1" applyBorder="1"/>
    <xf numFmtId="0" fontId="18" fillId="0" borderId="2" xfId="0" applyFont="1" applyBorder="1" applyAlignment="1">
      <alignment horizontal="left" vertical="center" wrapText="1"/>
    </xf>
    <xf numFmtId="0" fontId="18" fillId="0" borderId="3" xfId="0" applyFont="1" applyBorder="1"/>
    <xf numFmtId="0" fontId="18" fillId="0" borderId="4" xfId="0" applyFont="1" applyBorder="1"/>
    <xf numFmtId="0" fontId="14" fillId="0" borderId="2" xfId="0" applyFont="1" applyBorder="1" applyAlignment="1">
      <alignment horizontal="left" vertical="center" wrapText="1"/>
    </xf>
    <xf numFmtId="0" fontId="12" fillId="0" borderId="2" xfId="0" applyFont="1" applyBorder="1" applyAlignment="1">
      <alignment horizontal="left" vertical="center" wrapText="1"/>
    </xf>
    <xf numFmtId="0" fontId="12" fillId="0" borderId="2" xfId="0" applyFont="1" applyBorder="1" applyAlignment="1">
      <alignment horizontal="left" vertical="top" wrapText="1"/>
    </xf>
    <xf numFmtId="0" fontId="12" fillId="0" borderId="3" xfId="0" applyFont="1" applyBorder="1"/>
    <xf numFmtId="0" fontId="12" fillId="0" borderId="4" xfId="0" applyFont="1" applyBorder="1"/>
    <xf numFmtId="0" fontId="12" fillId="2" borderId="2" xfId="0" applyFont="1" applyFill="1" applyBorder="1" applyAlignment="1">
      <alignment horizontal="left" wrapText="1"/>
    </xf>
    <xf numFmtId="0" fontId="6" fillId="3" borderId="3" xfId="0" applyFont="1" applyFill="1" applyBorder="1"/>
    <xf numFmtId="0" fontId="6" fillId="3" borderId="4" xfId="0" applyFont="1" applyFill="1" applyBorder="1"/>
    <xf numFmtId="10" fontId="12" fillId="0" borderId="2" xfId="0" applyNumberFormat="1" applyFont="1" applyBorder="1" applyAlignment="1">
      <alignment horizontal="left" wrapText="1"/>
    </xf>
    <xf numFmtId="0" fontId="12" fillId="2"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0" borderId="2" xfId="0" applyFont="1" applyBorder="1" applyAlignment="1">
      <alignment horizontal="left" wrapText="1"/>
    </xf>
    <xf numFmtId="0" fontId="3" fillId="0" borderId="2" xfId="0" applyFont="1" applyBorder="1" applyAlignment="1">
      <alignment horizontal="left" vertical="center" wrapText="1"/>
    </xf>
    <xf numFmtId="0" fontId="20" fillId="0" borderId="5" xfId="3" applyFont="1" applyAlignment="1">
      <alignment horizontal="center" wrapText="1"/>
    </xf>
    <xf numFmtId="0" fontId="24" fillId="0" borderId="8" xfId="3" applyFont="1" applyBorder="1" applyAlignment="1">
      <alignment vertical="top" wrapText="1"/>
    </xf>
    <xf numFmtId="10" fontId="20" fillId="0" borderId="8" xfId="3" applyNumberFormat="1" applyFont="1" applyBorder="1" applyAlignment="1">
      <alignment wrapText="1"/>
    </xf>
    <xf numFmtId="2" fontId="22" fillId="0" borderId="8" xfId="3" applyNumberFormat="1" applyFont="1" applyBorder="1" applyAlignment="1">
      <alignment vertical="top" wrapText="1"/>
    </xf>
    <xf numFmtId="2" fontId="20" fillId="0" borderId="8" xfId="3" applyNumberFormat="1" applyFont="1" applyBorder="1" applyAlignment="1">
      <alignment horizontal="left" vertical="top" wrapText="1"/>
    </xf>
    <xf numFmtId="43" fontId="21" fillId="4" borderId="8" xfId="5" applyFont="1" applyFill="1" applyBorder="1" applyAlignment="1">
      <alignment wrapText="1"/>
    </xf>
    <xf numFmtId="10" fontId="20" fillId="3" borderId="8" xfId="4" applyNumberFormat="1" applyFont="1" applyFill="1" applyBorder="1" applyAlignment="1">
      <alignment vertical="top" wrapText="1"/>
    </xf>
    <xf numFmtId="0" fontId="21" fillId="4" borderId="8" xfId="3" applyFont="1" applyFill="1" applyBorder="1" applyAlignment="1">
      <alignment wrapText="1"/>
    </xf>
    <xf numFmtId="0" fontId="33" fillId="0" borderId="8" xfId="3" applyFont="1" applyBorder="1" applyAlignment="1">
      <alignment vertical="top" wrapText="1"/>
    </xf>
    <xf numFmtId="1" fontId="33" fillId="0" borderId="8" xfId="3" applyNumberFormat="1" applyFont="1" applyBorder="1" applyAlignment="1">
      <alignment vertical="top" wrapText="1"/>
    </xf>
    <xf numFmtId="2" fontId="20" fillId="3" borderId="8" xfId="3" applyNumberFormat="1" applyFont="1" applyFill="1" applyBorder="1" applyAlignment="1">
      <alignment horizontal="right" wrapText="1"/>
    </xf>
    <xf numFmtId="0" fontId="30" fillId="0" borderId="8" xfId="3" applyFont="1" applyBorder="1" applyAlignment="1">
      <alignment vertical="top" wrapText="1"/>
    </xf>
    <xf numFmtId="1" fontId="15" fillId="0" borderId="8" xfId="3" applyNumberFormat="1" applyBorder="1" applyAlignment="1">
      <alignment horizontal="left" wrapText="1"/>
    </xf>
    <xf numFmtId="1" fontId="15" fillId="0" borderId="8" xfId="3" applyNumberFormat="1" applyBorder="1" applyAlignment="1">
      <alignment wrapText="1"/>
    </xf>
    <xf numFmtId="1" fontId="30" fillId="0" borderId="8" xfId="3" applyNumberFormat="1" applyFont="1" applyBorder="1" applyAlignment="1">
      <alignment horizontal="left" vertical="top" wrapText="1" indent="1"/>
    </xf>
    <xf numFmtId="1" fontId="1" fillId="0" borderId="8" xfId="3" applyNumberFormat="1" applyFont="1" applyBorder="1"/>
    <xf numFmtId="1" fontId="1" fillId="0" borderId="8" xfId="5" applyNumberFormat="1" applyFont="1" applyFill="1" applyBorder="1" applyAlignment="1">
      <alignment horizontal="right" wrapText="1"/>
    </xf>
    <xf numFmtId="1" fontId="1" fillId="0" borderId="8" xfId="4" applyNumberFormat="1" applyFont="1" applyFill="1" applyBorder="1" applyAlignment="1">
      <alignment horizontal="right" wrapText="1"/>
    </xf>
    <xf numFmtId="1" fontId="1" fillId="0" borderId="8" xfId="3" applyNumberFormat="1" applyFont="1" applyBorder="1" applyAlignment="1">
      <alignment horizontal="right" wrapText="1"/>
    </xf>
    <xf numFmtId="1" fontId="30" fillId="0" borderId="8" xfId="3" applyNumberFormat="1" applyFont="1" applyBorder="1" applyAlignment="1">
      <alignment vertical="top" wrapText="1"/>
    </xf>
    <xf numFmtId="1" fontId="1" fillId="0" borderId="8" xfId="3" applyNumberFormat="1" applyFont="1" applyBorder="1" applyAlignment="1">
      <alignment horizontal="left" wrapText="1"/>
    </xf>
    <xf numFmtId="2" fontId="30" fillId="0" borderId="8" xfId="3" applyNumberFormat="1" applyFont="1" applyBorder="1" applyAlignment="1">
      <alignment vertical="top" wrapText="1"/>
    </xf>
    <xf numFmtId="0" fontId="31" fillId="0" borderId="8" xfId="3" applyFont="1" applyBorder="1" applyAlignment="1">
      <alignment vertical="top" wrapText="1"/>
    </xf>
    <xf numFmtId="1" fontId="32" fillId="0" borderId="8" xfId="3" applyNumberFormat="1" applyFont="1" applyBorder="1" applyAlignment="1">
      <alignment wrapText="1"/>
    </xf>
    <xf numFmtId="9" fontId="20" fillId="0" borderId="10" xfId="4" applyFont="1" applyBorder="1" applyAlignment="1">
      <alignment horizontal="left" vertical="top" wrapText="1"/>
    </xf>
    <xf numFmtId="9" fontId="20" fillId="0" borderId="11" xfId="4" applyFont="1" applyBorder="1" applyAlignment="1">
      <alignment horizontal="left" vertical="top" wrapText="1"/>
    </xf>
    <xf numFmtId="9" fontId="20" fillId="0" borderId="12" xfId="4" applyFont="1" applyBorder="1" applyAlignment="1">
      <alignment horizontal="left" vertical="top" wrapText="1"/>
    </xf>
    <xf numFmtId="9" fontId="20" fillId="0" borderId="8" xfId="4" applyFont="1" applyBorder="1" applyAlignment="1">
      <alignment horizontal="left" vertical="top" wrapText="1"/>
    </xf>
    <xf numFmtId="9" fontId="11" fillId="0" borderId="8" xfId="7" applyNumberFormat="1" applyBorder="1" applyAlignment="1">
      <alignment vertical="top" wrapText="1"/>
    </xf>
    <xf numFmtId="0" fontId="11" fillId="0" borderId="5" xfId="7" applyAlignment="1">
      <alignment horizontal="left" wrapText="1"/>
    </xf>
    <xf numFmtId="0" fontId="19" fillId="0" borderId="13" xfId="3" applyFont="1" applyBorder="1" applyAlignment="1">
      <alignment horizontal="center" wrapText="1"/>
    </xf>
  </cellXfs>
  <cellStyles count="8">
    <cellStyle name="Comma 2" xfId="5" xr:uid="{389C48CE-3679-403E-9041-060CBA30F9DE}"/>
    <cellStyle name="Hyperlink" xfId="1" builtinId="8"/>
    <cellStyle name="Hyperlink 2" xfId="6" xr:uid="{DA722972-A0B1-4E1C-836E-4CC3713C7800}"/>
    <cellStyle name="Hyperlink 3" xfId="7" xr:uid="{4F068236-0EBA-4AA4-AB26-32FAD9DFE3E6}"/>
    <cellStyle name="Normal" xfId="0" builtinId="0"/>
    <cellStyle name="Normal 2" xfId="3" xr:uid="{21F444D5-67E4-4AF3-BC10-591C1C0AB622}"/>
    <cellStyle name="Percent" xfId="2" builtinId="5"/>
    <cellStyle name="Percent 2" xfId="4" xr:uid="{87CD49FA-83D9-408A-AE99-6F3990D92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3262312</xdr:colOff>
      <xdr:row>22</xdr:row>
      <xdr:rowOff>79375</xdr:rowOff>
    </xdr:from>
    <xdr:to>
      <xdr:col>13</xdr:col>
      <xdr:colOff>412750</xdr:colOff>
      <xdr:row>22</xdr:row>
      <xdr:rowOff>95250</xdr:rowOff>
    </xdr:to>
    <xdr:cxnSp macro="">
      <xdr:nvCxnSpPr>
        <xdr:cNvPr id="15" name="Straight Arrow Connector 14">
          <a:extLst>
            <a:ext uri="{FF2B5EF4-FFF2-40B4-BE49-F238E27FC236}">
              <a16:creationId xmlns:a16="http://schemas.microsoft.com/office/drawing/2014/main" id="{00000000-0008-0000-0000-00000F000000}"/>
            </a:ext>
          </a:extLst>
        </xdr:cNvPr>
        <xdr:cNvCxnSpPr/>
      </xdr:nvCxnSpPr>
      <xdr:spPr>
        <a:xfrm flipV="1">
          <a:off x="3262312" y="9525000"/>
          <a:ext cx="9596438" cy="15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714375</xdr:colOff>
      <xdr:row>24</xdr:row>
      <xdr:rowOff>71436</xdr:rowOff>
    </xdr:from>
    <xdr:to>
      <xdr:col>13</xdr:col>
      <xdr:colOff>444500</xdr:colOff>
      <xdr:row>24</xdr:row>
      <xdr:rowOff>103186</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flipV="1">
          <a:off x="5961063" y="8080374"/>
          <a:ext cx="6929437" cy="3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2936875</xdr:colOff>
      <xdr:row>35</xdr:row>
      <xdr:rowOff>95250</xdr:rowOff>
    </xdr:from>
    <xdr:to>
      <xdr:col>13</xdr:col>
      <xdr:colOff>579437</xdr:colOff>
      <xdr:row>35</xdr:row>
      <xdr:rowOff>95250</xdr:rowOff>
    </xdr:to>
    <xdr:cxnSp macro="">
      <xdr:nvCxnSpPr>
        <xdr:cNvPr id="28" name="Straight Arrow Connector 27">
          <a:extLst>
            <a:ext uri="{FF2B5EF4-FFF2-40B4-BE49-F238E27FC236}">
              <a16:creationId xmlns:a16="http://schemas.microsoft.com/office/drawing/2014/main" id="{00000000-0008-0000-0000-00001C000000}"/>
            </a:ext>
          </a:extLst>
        </xdr:cNvPr>
        <xdr:cNvCxnSpPr/>
      </xdr:nvCxnSpPr>
      <xdr:spPr>
        <a:xfrm>
          <a:off x="2936875" y="14374813"/>
          <a:ext cx="1008856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174625</xdr:colOff>
      <xdr:row>12</xdr:row>
      <xdr:rowOff>71438</xdr:rowOff>
    </xdr:from>
    <xdr:to>
      <xdr:col>15</xdr:col>
      <xdr:colOff>690562</xdr:colOff>
      <xdr:row>19</xdr:row>
      <xdr:rowOff>972087</xdr:rowOff>
    </xdr:to>
    <xdr:pic>
      <xdr:nvPicPr>
        <xdr:cNvPr id="2" name="Picture 1" descr="Image">
          <a:extLst>
            <a:ext uri="{FF2B5EF4-FFF2-40B4-BE49-F238E27FC236}">
              <a16:creationId xmlns:a16="http://schemas.microsoft.com/office/drawing/2014/main" id="{326F91C9-A81C-CB1C-E5A0-B35DCC9060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20625" y="2690813"/>
          <a:ext cx="4429125" cy="2440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603251</xdr:colOff>
      <xdr:row>28</xdr:row>
      <xdr:rowOff>119064</xdr:rowOff>
    </xdr:from>
    <xdr:to>
      <xdr:col>15</xdr:col>
      <xdr:colOff>501815</xdr:colOff>
      <xdr:row>35</xdr:row>
      <xdr:rowOff>174626</xdr:rowOff>
    </xdr:to>
    <xdr:pic>
      <xdr:nvPicPr>
        <xdr:cNvPr id="3" name="Picture 2" descr="Image">
          <a:extLst>
            <a:ext uri="{FF2B5EF4-FFF2-40B4-BE49-F238E27FC236}">
              <a16:creationId xmlns:a16="http://schemas.microsoft.com/office/drawing/2014/main" id="{8BA89310-0DCF-364F-52F1-7FB668A266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49251" y="8897939"/>
          <a:ext cx="3811752" cy="2055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436563</xdr:colOff>
      <xdr:row>19</xdr:row>
      <xdr:rowOff>1031874</xdr:rowOff>
    </xdr:from>
    <xdr:to>
      <xdr:col>15</xdr:col>
      <xdr:colOff>262345</xdr:colOff>
      <xdr:row>24</xdr:row>
      <xdr:rowOff>31749</xdr:rowOff>
    </xdr:to>
    <xdr:pic>
      <xdr:nvPicPr>
        <xdr:cNvPr id="6" name="Picture 5" descr="Image">
          <a:extLst>
            <a:ext uri="{FF2B5EF4-FFF2-40B4-BE49-F238E27FC236}">
              <a16:creationId xmlns:a16="http://schemas.microsoft.com/office/drawing/2014/main" id="{389F6F04-7F8A-1989-F9DC-30D9614F44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82563" y="5191124"/>
          <a:ext cx="3738970" cy="3008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39687</xdr:colOff>
      <xdr:row>36</xdr:row>
      <xdr:rowOff>238126</xdr:rowOff>
    </xdr:from>
    <xdr:to>
      <xdr:col>14</xdr:col>
      <xdr:colOff>3198812</xdr:colOff>
      <xdr:row>44</xdr:row>
      <xdr:rowOff>169053</xdr:rowOff>
    </xdr:to>
    <xdr:pic>
      <xdr:nvPicPr>
        <xdr:cNvPr id="10" name="Picture 9" descr="Image">
          <a:extLst>
            <a:ext uri="{FF2B5EF4-FFF2-40B4-BE49-F238E27FC236}">
              <a16:creationId xmlns:a16="http://schemas.microsoft.com/office/drawing/2014/main" id="{B94C5C16-23B4-E936-24A2-C9AA2A101E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96875" y="11199814"/>
          <a:ext cx="3159125" cy="178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2652713</xdr:colOff>
      <xdr:row>36</xdr:row>
      <xdr:rowOff>165104</xdr:rowOff>
    </xdr:from>
    <xdr:to>
      <xdr:col>13</xdr:col>
      <xdr:colOff>587376</xdr:colOff>
      <xdr:row>36</xdr:row>
      <xdr:rowOff>168274</xdr:rowOff>
    </xdr:to>
    <xdr:cxnSp macro="">
      <xdr:nvCxnSpPr>
        <xdr:cNvPr id="11" name="Straight Arrow Connector 10">
          <a:extLst>
            <a:ext uri="{FF2B5EF4-FFF2-40B4-BE49-F238E27FC236}">
              <a16:creationId xmlns:a16="http://schemas.microsoft.com/office/drawing/2014/main" id="{5A6D4BF1-475A-4FCC-9B9A-1A0380189A5D}"/>
            </a:ext>
          </a:extLst>
        </xdr:cNvPr>
        <xdr:cNvCxnSpPr/>
      </xdr:nvCxnSpPr>
      <xdr:spPr>
        <a:xfrm>
          <a:off x="2652713" y="11126792"/>
          <a:ext cx="10380663" cy="31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drvijaymalik.com/analysis-caplin-point-laboratories-limited-equity-research-report/" TargetMode="External"/><Relationship Id="rId1" Type="http://schemas.openxmlformats.org/officeDocument/2006/relationships/hyperlink" Target="https://forum.valuepickr.com/t/caplin-point-laboratories/948/4690000"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caplinpoint.net/wp-content/uploads/2023/08/Caplin-Point-Lab-Investor-Presentation-Q1FY24-070823.pdf" TargetMode="External"/><Relationship Id="rId7" Type="http://schemas.openxmlformats.org/officeDocument/2006/relationships/hyperlink" Target="https://www.caplinpoint.net/wp-content/uploads/2023/08/Transcript-Earnings-Call-Q2-FY2024.pdf" TargetMode="External"/><Relationship Id="rId2" Type="http://schemas.openxmlformats.org/officeDocument/2006/relationships/hyperlink" Target="https://www.caplinpoint.net/wp-content/uploads/2023/08/Transcript-Earnings-Call-Q1-FY2024.pdf" TargetMode="External"/><Relationship Id="rId1" Type="http://schemas.openxmlformats.org/officeDocument/2006/relationships/hyperlink" Target="https://www.caplinpoint.net/wp-content/uploads/2023/04/Q1_Results_23.pdf" TargetMode="External"/><Relationship Id="rId6" Type="http://schemas.openxmlformats.org/officeDocument/2006/relationships/hyperlink" Target="https://caplinpoint.net/wp-content/uploads/2023/08/Caplin-Point-Lab-Earnings-Presentation-Q2-FY24-091123-V4.pdf" TargetMode="External"/><Relationship Id="rId5" Type="http://schemas.openxmlformats.org/officeDocument/2006/relationships/hyperlink" Target="https://www.caplinpoint.net/wp-content/uploads/2023/04/Q2_Results.pdf" TargetMode="External"/><Relationship Id="rId4" Type="http://schemas.openxmlformats.org/officeDocument/2006/relationships/hyperlink" Target="https://www.caplinpoint.net/wp-content/uploads/2023/08/CPL_Annual-Report_2022-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8D8D8"/>
  </sheetPr>
  <dimension ref="A1:Q136"/>
  <sheetViews>
    <sheetView tabSelected="1" zoomScale="80" zoomScaleNormal="80" workbookViewId="0">
      <selection activeCell="B20" sqref="B20:M20"/>
    </sheetView>
  </sheetViews>
  <sheetFormatPr defaultColWidth="14.453125" defaultRowHeight="15" customHeight="1" x14ac:dyDescent="0.35"/>
  <cols>
    <col min="1" max="1" width="50.81640625" customWidth="1"/>
    <col min="2" max="2" width="12.26953125" customWidth="1"/>
    <col min="3" max="3" width="12.08984375" customWidth="1"/>
    <col min="4" max="4" width="11.7265625" customWidth="1"/>
    <col min="5" max="5" width="10" customWidth="1"/>
    <col min="6" max="6" width="8.81640625" customWidth="1"/>
    <col min="7" max="12" width="8.7265625" customWidth="1"/>
    <col min="13" max="13" width="20" customWidth="1"/>
    <col min="14" max="14" width="8.7265625" customWidth="1"/>
    <col min="15" max="15" width="47.26953125" customWidth="1"/>
    <col min="16" max="16" width="43.81640625" customWidth="1"/>
    <col min="17" max="17" width="46.7265625" customWidth="1"/>
  </cols>
  <sheetData>
    <row r="1" spans="1:13" ht="18.5" x14ac:dyDescent="0.45">
      <c r="A1" s="27" t="s">
        <v>103</v>
      </c>
      <c r="B1" s="1"/>
      <c r="C1" s="1"/>
      <c r="D1" s="1"/>
      <c r="E1" s="1"/>
    </row>
    <row r="2" spans="1:13" ht="43.5" x14ac:dyDescent="0.35">
      <c r="A2" s="2" t="s">
        <v>0</v>
      </c>
      <c r="B2" s="3" t="s">
        <v>1</v>
      </c>
      <c r="C2" s="4" t="s">
        <v>2</v>
      </c>
      <c r="D2" s="5" t="s">
        <v>3</v>
      </c>
      <c r="E2" s="4" t="s">
        <v>4</v>
      </c>
      <c r="F2" s="23" t="s">
        <v>100</v>
      </c>
      <c r="G2" s="6"/>
      <c r="H2" s="6"/>
      <c r="I2" s="6"/>
      <c r="J2" s="6"/>
      <c r="K2" s="6"/>
      <c r="L2" s="6"/>
      <c r="M2" s="6"/>
    </row>
    <row r="3" spans="1:13" ht="14.5" x14ac:dyDescent="0.35">
      <c r="A3" s="2" t="s">
        <v>5</v>
      </c>
      <c r="B3" s="20"/>
      <c r="C3" s="28"/>
      <c r="D3" s="19"/>
      <c r="E3" s="19"/>
      <c r="F3" s="22"/>
      <c r="G3" s="6"/>
      <c r="H3" s="6"/>
      <c r="I3" s="6"/>
      <c r="J3" s="6"/>
      <c r="K3" s="6"/>
      <c r="L3" s="6"/>
      <c r="M3" s="6"/>
    </row>
    <row r="4" spans="1:13" ht="14.5" x14ac:dyDescent="0.35">
      <c r="A4" s="2" t="s">
        <v>6</v>
      </c>
      <c r="B4" s="8">
        <v>809</v>
      </c>
      <c r="C4" s="9">
        <v>45085</v>
      </c>
      <c r="D4" s="7"/>
      <c r="E4" s="7"/>
      <c r="F4" s="6"/>
      <c r="G4" s="6"/>
      <c r="H4" s="6"/>
      <c r="I4" s="6"/>
      <c r="J4" s="6"/>
      <c r="K4" s="6"/>
      <c r="L4" s="6"/>
      <c r="M4" s="6"/>
    </row>
    <row r="5" spans="1:13" ht="14.5" x14ac:dyDescent="0.35">
      <c r="A5" s="2" t="s">
        <v>7</v>
      </c>
      <c r="B5" s="8">
        <v>16.32</v>
      </c>
      <c r="C5" s="9">
        <v>45085</v>
      </c>
      <c r="D5" s="7"/>
      <c r="E5" s="7"/>
      <c r="F5" s="6"/>
      <c r="G5" s="6"/>
      <c r="H5" s="6"/>
      <c r="I5" s="6"/>
      <c r="J5" s="6"/>
      <c r="K5" s="6"/>
      <c r="L5" s="6"/>
      <c r="M5" s="6"/>
    </row>
    <row r="6" spans="1:13" ht="14.5" x14ac:dyDescent="0.35">
      <c r="A6" s="2" t="s">
        <v>8</v>
      </c>
      <c r="B6" s="8">
        <v>49.56</v>
      </c>
      <c r="C6" s="9">
        <v>45085</v>
      </c>
      <c r="D6" s="7"/>
      <c r="E6" s="7"/>
      <c r="F6" s="6"/>
      <c r="G6" s="6"/>
      <c r="H6" s="6"/>
      <c r="I6" s="6"/>
      <c r="J6" s="6"/>
      <c r="K6" s="6"/>
      <c r="L6" s="6"/>
      <c r="M6" s="6"/>
    </row>
    <row r="7" spans="1:13" ht="14.5" x14ac:dyDescent="0.35">
      <c r="A7" s="2" t="s">
        <v>9</v>
      </c>
      <c r="B7" s="8">
        <v>4.0999999999999996</v>
      </c>
      <c r="C7" s="9">
        <v>45085</v>
      </c>
      <c r="D7" s="7"/>
      <c r="E7" s="7"/>
      <c r="F7" s="6"/>
      <c r="G7" s="6"/>
      <c r="H7" s="6"/>
      <c r="I7" s="6"/>
      <c r="J7" s="6"/>
      <c r="K7" s="6"/>
      <c r="L7" s="6"/>
      <c r="M7" s="6"/>
    </row>
    <row r="8" spans="1:13" ht="14.5" x14ac:dyDescent="0.35">
      <c r="A8" s="2" t="s">
        <v>10</v>
      </c>
      <c r="B8" s="8">
        <v>0.38</v>
      </c>
      <c r="C8" s="9">
        <v>45085</v>
      </c>
      <c r="D8" s="7"/>
      <c r="E8" s="7"/>
      <c r="F8" s="6"/>
      <c r="G8" s="6"/>
      <c r="H8" s="6"/>
      <c r="I8" s="6"/>
      <c r="J8" s="6"/>
      <c r="K8" s="6"/>
      <c r="L8" s="6"/>
      <c r="M8" s="6"/>
    </row>
    <row r="9" spans="1:13" ht="14.5" x14ac:dyDescent="0.35">
      <c r="A9" s="2" t="s">
        <v>11</v>
      </c>
      <c r="B9" s="8">
        <v>1.74</v>
      </c>
      <c r="C9" s="9">
        <v>45085</v>
      </c>
      <c r="D9" s="7"/>
      <c r="E9" s="7"/>
      <c r="F9" s="6"/>
      <c r="G9" s="6"/>
      <c r="H9" s="6"/>
      <c r="I9" s="6"/>
      <c r="J9" s="6"/>
      <c r="K9" s="6"/>
      <c r="L9" s="6"/>
      <c r="M9" s="6"/>
    </row>
    <row r="10" spans="1:13" ht="14.5" x14ac:dyDescent="0.35">
      <c r="A10" s="2" t="s">
        <v>104</v>
      </c>
      <c r="B10" s="8">
        <v>0.6</v>
      </c>
      <c r="C10" s="9">
        <v>45085</v>
      </c>
      <c r="D10" s="7"/>
      <c r="E10" s="7"/>
      <c r="F10" s="6"/>
      <c r="G10" s="6"/>
      <c r="H10" s="6"/>
      <c r="I10" s="6"/>
      <c r="J10" s="6"/>
      <c r="K10" s="6"/>
      <c r="L10" s="6"/>
      <c r="M10" s="6"/>
    </row>
    <row r="11" spans="1:13" ht="14.5" x14ac:dyDescent="0.35">
      <c r="A11" s="2" t="s">
        <v>105</v>
      </c>
      <c r="B11" s="8">
        <f>6142/1466</f>
        <v>4.1896316507503411</v>
      </c>
      <c r="C11" s="9">
        <v>45085</v>
      </c>
      <c r="D11" s="7"/>
      <c r="E11" s="7"/>
      <c r="F11" s="6"/>
      <c r="G11" s="6"/>
      <c r="H11" s="6"/>
      <c r="I11" s="6"/>
      <c r="J11" s="6"/>
      <c r="K11" s="6"/>
      <c r="L11" s="6"/>
      <c r="M11" s="6"/>
    </row>
    <row r="12" spans="1:13" ht="14.5" x14ac:dyDescent="0.35">
      <c r="A12" s="2" t="s">
        <v>106</v>
      </c>
      <c r="B12" s="32">
        <v>0.32269999999999999</v>
      </c>
      <c r="C12" s="7" t="s">
        <v>107</v>
      </c>
      <c r="D12" s="7"/>
      <c r="E12" s="7"/>
      <c r="F12" s="6"/>
      <c r="G12" s="6"/>
      <c r="H12" s="6"/>
      <c r="I12" s="6"/>
      <c r="J12" s="6"/>
      <c r="K12" s="6"/>
      <c r="L12" s="6"/>
      <c r="M12" s="6"/>
    </row>
    <row r="13" spans="1:13" ht="14.5" x14ac:dyDescent="0.35">
      <c r="A13" s="2" t="s">
        <v>12</v>
      </c>
      <c r="B13" s="31" t="s">
        <v>101</v>
      </c>
      <c r="C13" s="5"/>
      <c r="D13" s="7"/>
      <c r="E13" s="5"/>
      <c r="F13" s="6"/>
      <c r="G13" s="6"/>
      <c r="H13" s="6"/>
      <c r="I13" s="6"/>
      <c r="J13" s="6"/>
      <c r="K13" s="6"/>
      <c r="L13" s="6"/>
      <c r="M13" s="6"/>
    </row>
    <row r="14" spans="1:13" ht="14.5" x14ac:dyDescent="0.35">
      <c r="A14" s="2" t="s">
        <v>13</v>
      </c>
      <c r="B14" s="3" t="s">
        <v>14</v>
      </c>
      <c r="C14" s="5"/>
      <c r="D14" s="5"/>
      <c r="E14" s="7"/>
      <c r="F14" s="6"/>
      <c r="G14" s="6"/>
      <c r="H14" s="6"/>
      <c r="I14" s="6"/>
      <c r="J14" s="6"/>
      <c r="K14" s="6"/>
      <c r="L14" s="6"/>
      <c r="M14" s="6"/>
    </row>
    <row r="15" spans="1:13" ht="14.5" x14ac:dyDescent="0.35">
      <c r="A15" s="2" t="s">
        <v>15</v>
      </c>
      <c r="B15" s="3" t="s">
        <v>16</v>
      </c>
      <c r="C15" s="7"/>
      <c r="D15" s="5"/>
      <c r="E15" s="7"/>
      <c r="F15" s="6"/>
      <c r="G15" s="6"/>
      <c r="H15" s="6"/>
      <c r="I15" s="6"/>
      <c r="J15" s="6"/>
      <c r="K15" s="6"/>
      <c r="L15" s="6"/>
      <c r="M15" s="6"/>
    </row>
    <row r="16" spans="1:13" ht="14.5" x14ac:dyDescent="0.35">
      <c r="A16" s="2" t="s">
        <v>17</v>
      </c>
      <c r="B16" s="30" t="s">
        <v>18</v>
      </c>
      <c r="C16" s="11"/>
      <c r="D16" s="11"/>
      <c r="E16" s="11"/>
      <c r="F16" s="11"/>
      <c r="G16" s="6"/>
      <c r="H16" s="6"/>
      <c r="I16" s="6"/>
      <c r="J16" s="6"/>
      <c r="K16" s="6"/>
      <c r="L16" s="6"/>
      <c r="M16" s="6"/>
    </row>
    <row r="17" spans="1:17" ht="14.5" x14ac:dyDescent="0.35">
      <c r="A17" s="2" t="s">
        <v>19</v>
      </c>
      <c r="B17" s="11">
        <v>1400</v>
      </c>
      <c r="C17" s="10"/>
      <c r="D17" s="11"/>
      <c r="E17" s="11"/>
      <c r="F17" s="11"/>
      <c r="G17" s="6"/>
      <c r="H17" s="6"/>
      <c r="I17" s="6"/>
      <c r="J17" s="6"/>
      <c r="K17" s="6"/>
      <c r="L17" s="6"/>
      <c r="M17" s="6"/>
    </row>
    <row r="18" spans="1:17" ht="14.5" x14ac:dyDescent="0.35">
      <c r="A18" s="2" t="s">
        <v>20</v>
      </c>
      <c r="B18" s="23" t="s">
        <v>102</v>
      </c>
      <c r="C18" s="11"/>
      <c r="D18" s="11"/>
      <c r="E18" s="11"/>
      <c r="F18" s="11"/>
      <c r="G18" s="6"/>
      <c r="H18" s="6"/>
      <c r="I18" s="6"/>
      <c r="J18" s="6"/>
      <c r="K18" s="6"/>
      <c r="L18" s="6"/>
      <c r="M18" s="6"/>
    </row>
    <row r="19" spans="1:17" ht="35" customHeight="1" x14ac:dyDescent="0.35">
      <c r="A19" s="2" t="s">
        <v>21</v>
      </c>
      <c r="B19" s="133" t="s">
        <v>218</v>
      </c>
      <c r="C19" s="134"/>
      <c r="D19" s="134"/>
      <c r="E19" s="134"/>
      <c r="F19" s="134"/>
      <c r="G19" s="134"/>
      <c r="H19" s="134"/>
      <c r="I19" s="134"/>
      <c r="J19" s="134"/>
      <c r="K19" s="134"/>
      <c r="L19" s="134"/>
      <c r="M19" s="135"/>
    </row>
    <row r="20" spans="1:17" ht="202" customHeight="1" x14ac:dyDescent="0.35">
      <c r="A20" s="2" t="s">
        <v>23</v>
      </c>
      <c r="B20" s="133" t="s">
        <v>214</v>
      </c>
      <c r="C20" s="134"/>
      <c r="D20" s="134"/>
      <c r="E20" s="134"/>
      <c r="F20" s="134"/>
      <c r="G20" s="134"/>
      <c r="H20" s="134"/>
      <c r="I20" s="134"/>
      <c r="J20" s="134"/>
      <c r="K20" s="134"/>
      <c r="L20" s="134"/>
      <c r="M20" s="135"/>
      <c r="P20" s="12"/>
      <c r="Q20" s="12"/>
    </row>
    <row r="21" spans="1:17" ht="71" customHeight="1" x14ac:dyDescent="0.35">
      <c r="A21" s="2" t="s">
        <v>24</v>
      </c>
      <c r="B21" s="133" t="s">
        <v>205</v>
      </c>
      <c r="C21" s="142"/>
      <c r="D21" s="142"/>
      <c r="E21" s="142"/>
      <c r="F21" s="142"/>
      <c r="G21" s="142"/>
      <c r="H21" s="142"/>
      <c r="I21" s="142"/>
      <c r="J21" s="142"/>
      <c r="K21" s="142"/>
      <c r="L21" s="142"/>
      <c r="M21" s="143"/>
    </row>
    <row r="22" spans="1:17" ht="14.5" x14ac:dyDescent="0.35">
      <c r="A22" s="2" t="s">
        <v>25</v>
      </c>
      <c r="B22" s="140" t="s">
        <v>203</v>
      </c>
      <c r="C22" s="134"/>
      <c r="D22" s="134"/>
      <c r="E22" s="134"/>
      <c r="F22" s="134"/>
      <c r="G22" s="134"/>
      <c r="H22" s="134"/>
      <c r="I22" s="134"/>
      <c r="J22" s="134"/>
      <c r="K22" s="134"/>
      <c r="L22" s="134"/>
      <c r="M22" s="135"/>
    </row>
    <row r="23" spans="1:17" s="26" customFormat="1" ht="14.5" x14ac:dyDescent="0.35">
      <c r="A23" s="24" t="s">
        <v>26</v>
      </c>
      <c r="B23" s="148"/>
      <c r="C23" s="145"/>
      <c r="D23" s="145"/>
      <c r="E23" s="145"/>
      <c r="F23" s="145"/>
      <c r="G23" s="145"/>
      <c r="H23" s="145"/>
      <c r="I23" s="145"/>
      <c r="J23" s="145"/>
      <c r="K23" s="145"/>
      <c r="L23" s="145"/>
      <c r="M23" s="146"/>
      <c r="N23" s="25"/>
      <c r="O23" s="25"/>
      <c r="P23" s="25"/>
      <c r="Q23" s="25"/>
    </row>
    <row r="24" spans="1:17" ht="14" customHeight="1" x14ac:dyDescent="0.35">
      <c r="A24" s="2" t="s">
        <v>27</v>
      </c>
      <c r="B24" s="140" t="s">
        <v>204</v>
      </c>
      <c r="C24" s="134"/>
      <c r="D24" s="134"/>
      <c r="E24" s="134"/>
      <c r="F24" s="134"/>
      <c r="G24" s="134"/>
      <c r="H24" s="134"/>
      <c r="I24" s="134"/>
      <c r="J24" s="134"/>
      <c r="K24" s="134"/>
      <c r="L24" s="134"/>
      <c r="M24" s="135"/>
    </row>
    <row r="25" spans="1:17" ht="14.5" x14ac:dyDescent="0.35">
      <c r="A25" s="2" t="s">
        <v>28</v>
      </c>
      <c r="B25" s="140" t="s">
        <v>198</v>
      </c>
      <c r="C25" s="134"/>
      <c r="D25" s="134"/>
      <c r="E25" s="134"/>
      <c r="F25" s="134"/>
      <c r="G25" s="134"/>
      <c r="H25" s="134"/>
      <c r="I25" s="134"/>
      <c r="J25" s="134"/>
      <c r="K25" s="134"/>
      <c r="L25" s="134"/>
      <c r="M25" s="135"/>
    </row>
    <row r="26" spans="1:17" s="26" customFormat="1" ht="14.5" x14ac:dyDescent="0.35">
      <c r="A26" s="24" t="s">
        <v>29</v>
      </c>
      <c r="B26" s="149" t="s">
        <v>22</v>
      </c>
      <c r="C26" s="145"/>
      <c r="D26" s="145"/>
      <c r="E26" s="145"/>
      <c r="F26" s="145"/>
      <c r="G26" s="145"/>
      <c r="H26" s="145"/>
      <c r="I26" s="145"/>
      <c r="J26" s="145"/>
      <c r="K26" s="145"/>
      <c r="L26" s="145"/>
      <c r="M26" s="146"/>
      <c r="N26" s="25"/>
      <c r="O26" s="25"/>
      <c r="P26" s="25"/>
      <c r="Q26" s="25"/>
    </row>
    <row r="27" spans="1:17" ht="17.5" customHeight="1" x14ac:dyDescent="0.35">
      <c r="A27" s="2" t="s">
        <v>30</v>
      </c>
      <c r="B27" s="140" t="s">
        <v>207</v>
      </c>
      <c r="C27" s="134"/>
      <c r="D27" s="134"/>
      <c r="E27" s="134"/>
      <c r="F27" s="134"/>
      <c r="G27" s="134"/>
      <c r="H27" s="134"/>
      <c r="I27" s="134"/>
      <c r="J27" s="134"/>
      <c r="K27" s="134"/>
      <c r="L27" s="134"/>
      <c r="M27" s="135"/>
    </row>
    <row r="28" spans="1:17" s="26" customFormat="1" ht="14.5" x14ac:dyDescent="0.35">
      <c r="A28" s="24" t="s">
        <v>31</v>
      </c>
      <c r="B28" s="140" t="s">
        <v>208</v>
      </c>
      <c r="C28" s="134"/>
      <c r="D28" s="134"/>
      <c r="E28" s="134"/>
      <c r="F28" s="134"/>
      <c r="G28" s="134"/>
      <c r="H28" s="134"/>
      <c r="I28" s="134"/>
      <c r="J28" s="134"/>
      <c r="K28" s="134"/>
      <c r="L28" s="134"/>
      <c r="M28" s="135"/>
      <c r="N28" s="25"/>
      <c r="O28" s="25"/>
      <c r="P28" s="25"/>
      <c r="Q28" s="25"/>
    </row>
    <row r="29" spans="1:17" ht="34.5" customHeight="1" x14ac:dyDescent="0.35">
      <c r="A29" s="2" t="s">
        <v>32</v>
      </c>
      <c r="B29" s="140" t="s">
        <v>206</v>
      </c>
      <c r="C29" s="134"/>
      <c r="D29" s="134"/>
      <c r="E29" s="134"/>
      <c r="F29" s="134"/>
      <c r="G29" s="134"/>
      <c r="H29" s="134"/>
      <c r="I29" s="134"/>
      <c r="J29" s="134"/>
      <c r="K29" s="134"/>
      <c r="L29" s="134"/>
      <c r="M29" s="135"/>
    </row>
    <row r="30" spans="1:17" ht="14.5" x14ac:dyDescent="0.35">
      <c r="A30" s="2" t="s">
        <v>33</v>
      </c>
      <c r="B30" s="140" t="s">
        <v>22</v>
      </c>
      <c r="C30" s="134"/>
      <c r="D30" s="134"/>
      <c r="E30" s="134"/>
      <c r="F30" s="134"/>
      <c r="G30" s="134"/>
      <c r="H30" s="134"/>
      <c r="I30" s="134"/>
      <c r="J30" s="134"/>
      <c r="K30" s="134"/>
      <c r="L30" s="134"/>
      <c r="M30" s="135"/>
    </row>
    <row r="31" spans="1:17" ht="51" customHeight="1" x14ac:dyDescent="0.35">
      <c r="A31" s="2" t="s">
        <v>34</v>
      </c>
      <c r="B31" s="136" t="s">
        <v>212</v>
      </c>
      <c r="C31" s="137"/>
      <c r="D31" s="137"/>
      <c r="E31" s="137"/>
      <c r="F31" s="137"/>
      <c r="G31" s="137"/>
      <c r="H31" s="137"/>
      <c r="I31" s="137"/>
      <c r="J31" s="137"/>
      <c r="K31" s="137"/>
      <c r="L31" s="137"/>
      <c r="M31" s="138"/>
    </row>
    <row r="32" spans="1:17" ht="14.5" x14ac:dyDescent="0.35">
      <c r="A32" s="2" t="s">
        <v>35</v>
      </c>
      <c r="B32" s="139" t="s">
        <v>209</v>
      </c>
      <c r="C32" s="134"/>
      <c r="D32" s="134"/>
      <c r="E32" s="134"/>
      <c r="F32" s="134"/>
      <c r="G32" s="134"/>
      <c r="H32" s="134"/>
      <c r="I32" s="134"/>
      <c r="J32" s="134"/>
      <c r="K32" s="134"/>
      <c r="L32" s="134"/>
      <c r="M32" s="135"/>
    </row>
    <row r="33" spans="1:17" ht="14.5" x14ac:dyDescent="0.35">
      <c r="A33" s="2" t="s">
        <v>36</v>
      </c>
      <c r="B33" s="141" t="s">
        <v>210</v>
      </c>
      <c r="C33" s="142"/>
      <c r="D33" s="142"/>
      <c r="E33" s="142"/>
      <c r="F33" s="142"/>
      <c r="G33" s="142"/>
      <c r="H33" s="142"/>
      <c r="I33" s="142"/>
      <c r="J33" s="142"/>
      <c r="K33" s="142"/>
      <c r="L33" s="142"/>
      <c r="M33" s="143"/>
    </row>
    <row r="34" spans="1:17" ht="14.5" x14ac:dyDescent="0.35">
      <c r="A34" s="2" t="s">
        <v>37</v>
      </c>
      <c r="B34" s="140" t="s">
        <v>213</v>
      </c>
      <c r="C34" s="134"/>
      <c r="D34" s="134"/>
      <c r="E34" s="134"/>
      <c r="F34" s="134"/>
      <c r="G34" s="134"/>
      <c r="H34" s="134"/>
      <c r="I34" s="134"/>
      <c r="J34" s="134"/>
      <c r="K34" s="134"/>
      <c r="L34" s="134"/>
      <c r="M34" s="135"/>
    </row>
    <row r="35" spans="1:17" ht="14.5" x14ac:dyDescent="0.35">
      <c r="A35" s="2" t="s">
        <v>38</v>
      </c>
      <c r="B35" s="140" t="s">
        <v>199</v>
      </c>
      <c r="C35" s="134"/>
      <c r="D35" s="134"/>
      <c r="E35" s="134"/>
      <c r="F35" s="134"/>
      <c r="G35" s="134"/>
      <c r="H35" s="134"/>
      <c r="I35" s="134"/>
      <c r="J35" s="134"/>
      <c r="K35" s="134"/>
      <c r="L35" s="134"/>
      <c r="M35" s="135"/>
    </row>
    <row r="36" spans="1:17" ht="14.5" x14ac:dyDescent="0.35">
      <c r="A36" s="2" t="s">
        <v>39</v>
      </c>
      <c r="B36" s="140"/>
      <c r="C36" s="134"/>
      <c r="D36" s="134"/>
      <c r="E36" s="134"/>
      <c r="F36" s="134"/>
      <c r="G36" s="134"/>
      <c r="H36" s="134"/>
      <c r="I36" s="134"/>
      <c r="J36" s="134"/>
      <c r="K36" s="134"/>
      <c r="L36" s="134"/>
      <c r="M36" s="135"/>
    </row>
    <row r="37" spans="1:17" ht="14.5" x14ac:dyDescent="0.35">
      <c r="A37" s="2" t="s">
        <v>40</v>
      </c>
      <c r="B37" s="140"/>
      <c r="C37" s="134"/>
      <c r="D37" s="134"/>
      <c r="E37" s="134"/>
      <c r="F37" s="134"/>
      <c r="G37" s="134"/>
      <c r="H37" s="134"/>
      <c r="I37" s="134"/>
      <c r="J37" s="134"/>
      <c r="K37" s="134"/>
      <c r="L37" s="134"/>
      <c r="M37" s="135"/>
    </row>
    <row r="38" spans="1:17" ht="15.75" customHeight="1" x14ac:dyDescent="0.35">
      <c r="A38" s="2" t="s">
        <v>41</v>
      </c>
      <c r="B38" s="140" t="s">
        <v>200</v>
      </c>
      <c r="C38" s="134"/>
      <c r="D38" s="134"/>
      <c r="E38" s="134"/>
      <c r="F38" s="134"/>
      <c r="G38" s="134"/>
      <c r="H38" s="134"/>
      <c r="I38" s="134"/>
      <c r="J38" s="134"/>
      <c r="K38" s="134"/>
      <c r="L38" s="134"/>
      <c r="M38" s="135"/>
    </row>
    <row r="39" spans="1:17" ht="32" customHeight="1" x14ac:dyDescent="0.35">
      <c r="A39" s="2" t="s">
        <v>42</v>
      </c>
      <c r="B39" s="136" t="s">
        <v>211</v>
      </c>
      <c r="C39" s="137"/>
      <c r="D39" s="137"/>
      <c r="E39" s="137"/>
      <c r="F39" s="137"/>
      <c r="G39" s="137"/>
      <c r="H39" s="137"/>
      <c r="I39" s="137"/>
      <c r="J39" s="137"/>
      <c r="K39" s="137"/>
      <c r="L39" s="137"/>
      <c r="M39" s="138"/>
    </row>
    <row r="40" spans="1:17" ht="15.75" customHeight="1" x14ac:dyDescent="0.35">
      <c r="A40" s="29" t="s">
        <v>201</v>
      </c>
      <c r="B40" s="151">
        <v>1675</v>
      </c>
      <c r="C40" s="134"/>
      <c r="D40" s="134"/>
      <c r="E40" s="134"/>
      <c r="F40" s="134"/>
      <c r="G40" s="134"/>
      <c r="H40" s="134"/>
      <c r="I40" s="134"/>
      <c r="J40" s="134"/>
      <c r="K40" s="134"/>
      <c r="L40" s="134"/>
      <c r="M40" s="135"/>
    </row>
    <row r="41" spans="1:17" ht="15.75" customHeight="1" x14ac:dyDescent="0.35">
      <c r="A41" s="2" t="s">
        <v>43</v>
      </c>
      <c r="B41" s="140" t="s">
        <v>215</v>
      </c>
      <c r="C41" s="134"/>
      <c r="D41" s="134"/>
      <c r="E41" s="134"/>
      <c r="F41" s="134"/>
      <c r="G41" s="134"/>
      <c r="H41" s="134"/>
      <c r="I41" s="134"/>
      <c r="J41" s="134"/>
      <c r="K41" s="134"/>
      <c r="L41" s="134"/>
      <c r="M41" s="135"/>
    </row>
    <row r="42" spans="1:17" ht="15.75" customHeight="1" x14ac:dyDescent="0.35">
      <c r="A42" s="2" t="s">
        <v>44</v>
      </c>
      <c r="B42" s="140" t="s">
        <v>215</v>
      </c>
      <c r="C42" s="134"/>
      <c r="D42" s="134"/>
      <c r="E42" s="134"/>
      <c r="F42" s="134"/>
      <c r="G42" s="134"/>
      <c r="H42" s="134"/>
      <c r="I42" s="134"/>
      <c r="J42" s="134"/>
      <c r="K42" s="134"/>
      <c r="L42" s="134"/>
      <c r="M42" s="135"/>
    </row>
    <row r="43" spans="1:17" ht="18" customHeight="1" x14ac:dyDescent="0.35">
      <c r="A43" s="2" t="s">
        <v>45</v>
      </c>
      <c r="B43" s="150">
        <v>1990</v>
      </c>
      <c r="C43" s="134"/>
      <c r="D43" s="134"/>
      <c r="E43" s="134"/>
      <c r="F43" s="134"/>
      <c r="G43" s="134"/>
      <c r="H43" s="134"/>
      <c r="I43" s="134"/>
      <c r="J43" s="134"/>
      <c r="K43" s="134"/>
      <c r="L43" s="134"/>
      <c r="M43" s="135"/>
    </row>
    <row r="44" spans="1:17" ht="14.5" x14ac:dyDescent="0.35">
      <c r="A44" s="2" t="s">
        <v>46</v>
      </c>
      <c r="B44" s="133" t="s">
        <v>216</v>
      </c>
      <c r="C44" s="134"/>
      <c r="D44" s="134"/>
      <c r="E44" s="134"/>
      <c r="F44" s="134"/>
      <c r="G44" s="134"/>
      <c r="H44" s="134"/>
      <c r="I44" s="134"/>
      <c r="J44" s="134"/>
      <c r="K44" s="134"/>
      <c r="L44" s="134"/>
      <c r="M44" s="135"/>
    </row>
    <row r="45" spans="1:17" s="26" customFormat="1" ht="14.5" x14ac:dyDescent="0.35">
      <c r="A45" s="24" t="s">
        <v>47</v>
      </c>
      <c r="B45" s="144" t="s">
        <v>22</v>
      </c>
      <c r="C45" s="145"/>
      <c r="D45" s="145"/>
      <c r="E45" s="145"/>
      <c r="F45" s="145"/>
      <c r="G45" s="145"/>
      <c r="H45" s="145"/>
      <c r="I45" s="145"/>
      <c r="J45" s="145"/>
      <c r="K45" s="145"/>
      <c r="L45" s="145"/>
      <c r="M45" s="146"/>
      <c r="N45" s="25"/>
      <c r="O45" s="25"/>
      <c r="P45" s="25"/>
      <c r="Q45" s="25"/>
    </row>
    <row r="46" spans="1:17" ht="18" customHeight="1" x14ac:dyDescent="0.35">
      <c r="A46" s="2" t="s">
        <v>48</v>
      </c>
      <c r="B46" s="133" t="s">
        <v>217</v>
      </c>
      <c r="C46" s="134"/>
      <c r="D46" s="134"/>
      <c r="E46" s="134"/>
      <c r="F46" s="134"/>
      <c r="G46" s="134"/>
      <c r="H46" s="134"/>
      <c r="I46" s="134"/>
      <c r="J46" s="134"/>
      <c r="K46" s="134"/>
      <c r="L46" s="134"/>
      <c r="M46" s="135"/>
    </row>
    <row r="47" spans="1:17" ht="18" customHeight="1" x14ac:dyDescent="0.35">
      <c r="A47" s="2" t="s">
        <v>49</v>
      </c>
      <c r="B47" s="133" t="s">
        <v>22</v>
      </c>
      <c r="C47" s="134"/>
      <c r="D47" s="134"/>
      <c r="E47" s="134"/>
      <c r="F47" s="134"/>
      <c r="G47" s="134"/>
      <c r="H47" s="134"/>
      <c r="I47" s="134"/>
      <c r="J47" s="134"/>
      <c r="K47" s="134"/>
      <c r="L47" s="134"/>
      <c r="M47" s="135"/>
    </row>
    <row r="48" spans="1:17" ht="15.75" customHeight="1" x14ac:dyDescent="0.35">
      <c r="A48" s="2" t="s">
        <v>50</v>
      </c>
      <c r="B48" s="147" t="s">
        <v>22</v>
      </c>
      <c r="C48" s="134"/>
      <c r="D48" s="134"/>
      <c r="E48" s="134"/>
      <c r="F48" s="134"/>
      <c r="G48" s="134"/>
      <c r="H48" s="134"/>
      <c r="I48" s="134"/>
      <c r="J48" s="134"/>
      <c r="K48" s="134"/>
      <c r="L48" s="134"/>
      <c r="M48" s="135"/>
    </row>
    <row r="49" spans="1:13" ht="15.75" customHeight="1" x14ac:dyDescent="0.35">
      <c r="A49" s="2" t="s">
        <v>51</v>
      </c>
      <c r="B49" s="147" t="s">
        <v>22</v>
      </c>
      <c r="C49" s="134"/>
      <c r="D49" s="134"/>
      <c r="E49" s="134"/>
      <c r="F49" s="134"/>
      <c r="G49" s="134"/>
      <c r="H49" s="134"/>
      <c r="I49" s="134"/>
      <c r="J49" s="134"/>
      <c r="K49" s="134"/>
      <c r="L49" s="134"/>
      <c r="M49" s="135"/>
    </row>
    <row r="50" spans="1:13" ht="14.5" x14ac:dyDescent="0.35">
      <c r="A50" s="2" t="s">
        <v>52</v>
      </c>
      <c r="B50" s="133"/>
      <c r="C50" s="134"/>
      <c r="D50" s="134"/>
      <c r="E50" s="134"/>
      <c r="F50" s="134"/>
      <c r="G50" s="134"/>
      <c r="H50" s="134"/>
      <c r="I50" s="134"/>
      <c r="J50" s="134"/>
      <c r="K50" s="134"/>
      <c r="L50" s="134"/>
      <c r="M50" s="135"/>
    </row>
    <row r="51" spans="1:13" ht="15.75" customHeight="1" x14ac:dyDescent="0.35">
      <c r="A51" s="6"/>
      <c r="B51" s="6"/>
      <c r="C51" s="6"/>
      <c r="D51" s="6"/>
      <c r="E51" s="6"/>
      <c r="F51" s="6"/>
      <c r="G51" s="6"/>
      <c r="H51" s="6"/>
      <c r="I51" s="6"/>
      <c r="J51" s="6"/>
      <c r="K51" s="6"/>
      <c r="L51" s="6"/>
      <c r="M51" s="6"/>
    </row>
    <row r="52" spans="1:13" ht="15.75" customHeight="1" x14ac:dyDescent="0.35"/>
    <row r="53" spans="1:13" ht="15.75" customHeight="1" x14ac:dyDescent="0.35"/>
    <row r="54" spans="1:13" ht="15.75" customHeight="1" x14ac:dyDescent="0.35"/>
    <row r="55" spans="1:13" ht="15.75" customHeight="1" x14ac:dyDescent="0.35"/>
    <row r="56" spans="1:13" ht="15.75" customHeight="1" x14ac:dyDescent="0.35"/>
    <row r="57" spans="1:13" ht="15.75" customHeight="1" x14ac:dyDescent="0.35"/>
    <row r="58" spans="1:13" ht="15.75" customHeight="1" x14ac:dyDescent="0.35"/>
    <row r="59" spans="1:13" ht="15.75" customHeight="1" x14ac:dyDescent="0.35"/>
    <row r="60" spans="1:13" ht="15.75" customHeight="1" x14ac:dyDescent="0.35"/>
    <row r="61" spans="1:13" ht="15.75" customHeight="1" x14ac:dyDescent="0.35"/>
    <row r="62" spans="1:13" ht="15.75" customHeight="1" x14ac:dyDescent="0.35"/>
    <row r="63" spans="1:13" ht="15.75" customHeight="1" x14ac:dyDescent="0.35"/>
    <row r="64" spans="1:13"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spans="1:13" ht="15.75" customHeight="1" x14ac:dyDescent="0.35"/>
    <row r="98" spans="1:13" ht="15.75" customHeight="1" x14ac:dyDescent="0.35"/>
    <row r="99" spans="1:13" ht="15.75" customHeight="1" x14ac:dyDescent="0.35"/>
    <row r="100" spans="1:13" ht="15.75" customHeight="1" x14ac:dyDescent="0.35"/>
    <row r="101" spans="1:13" ht="15.75" customHeight="1" x14ac:dyDescent="0.35"/>
    <row r="102" spans="1:13" ht="15.75" customHeight="1" x14ac:dyDescent="0.35"/>
    <row r="103" spans="1:13" ht="15.75" customHeight="1" x14ac:dyDescent="0.35"/>
    <row r="104" spans="1:13" ht="15.75" customHeight="1" x14ac:dyDescent="0.35">
      <c r="A104" s="2"/>
      <c r="B104" s="6"/>
      <c r="C104" s="11"/>
      <c r="D104" s="11"/>
      <c r="E104" s="11"/>
      <c r="F104" s="6"/>
      <c r="G104" s="6"/>
      <c r="H104" s="6"/>
      <c r="I104" s="6"/>
      <c r="J104" s="6"/>
      <c r="K104" s="6"/>
      <c r="L104" s="6"/>
      <c r="M104" s="6"/>
    </row>
    <row r="105" spans="1:13" ht="15.75" customHeight="1" x14ac:dyDescent="0.35">
      <c r="A105" s="13" t="s">
        <v>53</v>
      </c>
      <c r="B105" s="6"/>
      <c r="C105" s="11"/>
      <c r="D105" s="11"/>
      <c r="E105" s="11"/>
      <c r="F105" s="6"/>
      <c r="G105" s="6"/>
      <c r="H105" s="6"/>
      <c r="I105" s="6"/>
      <c r="J105" s="6"/>
      <c r="K105" s="6"/>
      <c r="L105" s="6"/>
      <c r="M105" s="6"/>
    </row>
    <row r="106" spans="1:13" ht="15.75" customHeight="1" x14ac:dyDescent="0.35">
      <c r="A106" s="14" t="s">
        <v>54</v>
      </c>
      <c r="B106" s="11"/>
      <c r="C106" s="11"/>
      <c r="D106" s="11"/>
      <c r="E106" s="6"/>
      <c r="F106" s="6"/>
      <c r="G106" s="6"/>
      <c r="H106" s="6"/>
      <c r="I106" s="6"/>
      <c r="J106" s="6"/>
      <c r="K106" s="6"/>
      <c r="L106" s="6"/>
      <c r="M106" s="6"/>
    </row>
    <row r="107" spans="1:13" ht="15.75" customHeight="1" x14ac:dyDescent="0.35">
      <c r="A107" s="6" t="s">
        <v>55</v>
      </c>
      <c r="B107" s="11"/>
      <c r="C107" s="11"/>
      <c r="D107" s="11"/>
      <c r="E107" s="6"/>
      <c r="F107" s="6"/>
      <c r="G107" s="6"/>
      <c r="H107" s="6"/>
      <c r="I107" s="6"/>
      <c r="J107" s="6"/>
      <c r="K107" s="6"/>
      <c r="L107" s="6"/>
      <c r="M107" s="6"/>
    </row>
    <row r="108" spans="1:13" ht="15.75" customHeight="1" x14ac:dyDescent="0.35">
      <c r="A108" s="6" t="s">
        <v>56</v>
      </c>
      <c r="B108" s="11"/>
      <c r="C108" s="11"/>
      <c r="D108" s="11"/>
      <c r="E108" s="6"/>
      <c r="F108" s="6"/>
      <c r="G108" s="6"/>
      <c r="H108" s="6"/>
      <c r="I108" s="6"/>
      <c r="J108" s="6"/>
      <c r="K108" s="6"/>
      <c r="L108" s="6"/>
      <c r="M108" s="6"/>
    </row>
    <row r="109" spans="1:13" ht="15.75" customHeight="1" x14ac:dyDescent="0.35">
      <c r="A109" s="6" t="s">
        <v>57</v>
      </c>
      <c r="B109" s="11"/>
      <c r="C109" s="11"/>
      <c r="D109" s="11"/>
      <c r="E109" s="6"/>
      <c r="F109" s="6"/>
      <c r="G109" s="6"/>
      <c r="H109" s="6"/>
      <c r="I109" s="6"/>
      <c r="J109" s="6"/>
      <c r="K109" s="6"/>
      <c r="L109" s="6"/>
      <c r="M109" s="6"/>
    </row>
    <row r="110" spans="1:13" ht="15.75" customHeight="1" x14ac:dyDescent="0.35">
      <c r="A110" s="6" t="s">
        <v>58</v>
      </c>
      <c r="B110" s="11"/>
      <c r="C110" s="11"/>
      <c r="D110" s="11"/>
      <c r="E110" s="6"/>
      <c r="F110" s="6"/>
      <c r="G110" s="6"/>
      <c r="H110" s="6"/>
      <c r="I110" s="6"/>
      <c r="J110" s="6"/>
      <c r="K110" s="6"/>
      <c r="L110" s="6"/>
      <c r="M110" s="6"/>
    </row>
    <row r="111" spans="1:13" ht="15.75" customHeight="1" x14ac:dyDescent="0.35">
      <c r="A111" s="6" t="s">
        <v>59</v>
      </c>
      <c r="B111" s="11"/>
      <c r="C111" s="11"/>
      <c r="D111" s="11"/>
      <c r="E111" s="6"/>
      <c r="F111" s="6"/>
      <c r="G111" s="6"/>
      <c r="H111" s="6"/>
      <c r="I111" s="6"/>
      <c r="J111" s="6"/>
      <c r="K111" s="6"/>
      <c r="L111" s="6"/>
      <c r="M111" s="6"/>
    </row>
    <row r="112" spans="1:13" ht="15.75" customHeight="1" x14ac:dyDescent="0.35">
      <c r="A112" s="6" t="s">
        <v>60</v>
      </c>
      <c r="B112" s="11"/>
      <c r="C112" s="11"/>
      <c r="D112" s="11"/>
      <c r="E112" s="6"/>
      <c r="F112" s="6"/>
      <c r="G112" s="6"/>
      <c r="H112" s="6"/>
      <c r="I112" s="6"/>
      <c r="J112" s="6"/>
      <c r="K112" s="6"/>
      <c r="L112" s="6"/>
      <c r="M112" s="6"/>
    </row>
    <row r="113" spans="1:13" ht="15.75" customHeight="1" x14ac:dyDescent="0.35">
      <c r="A113" s="14" t="s">
        <v>61</v>
      </c>
      <c r="B113" s="11"/>
      <c r="C113" s="11"/>
      <c r="D113" s="11"/>
      <c r="E113" s="6"/>
      <c r="F113" s="6"/>
      <c r="G113" s="6"/>
      <c r="H113" s="6"/>
      <c r="I113" s="6"/>
      <c r="J113" s="6"/>
      <c r="K113" s="6"/>
      <c r="L113" s="6"/>
      <c r="M113" s="6"/>
    </row>
    <row r="114" spans="1:13" ht="15.75" customHeight="1" x14ac:dyDescent="0.35">
      <c r="A114" s="6" t="s">
        <v>62</v>
      </c>
      <c r="B114" s="11"/>
      <c r="C114" s="11"/>
      <c r="D114" s="11"/>
      <c r="E114" s="6"/>
      <c r="F114" s="6"/>
      <c r="G114" s="6"/>
      <c r="H114" s="6"/>
      <c r="I114" s="6"/>
      <c r="J114" s="6"/>
      <c r="K114" s="6"/>
      <c r="L114" s="6"/>
      <c r="M114" s="6"/>
    </row>
    <row r="115" spans="1:13" ht="15.75" customHeight="1" x14ac:dyDescent="0.35">
      <c r="A115" s="6" t="s">
        <v>63</v>
      </c>
      <c r="B115" s="11"/>
      <c r="C115" s="11"/>
      <c r="D115" s="11"/>
      <c r="E115" s="6"/>
      <c r="F115" s="6"/>
      <c r="G115" s="6"/>
      <c r="H115" s="6"/>
      <c r="I115" s="6"/>
      <c r="J115" s="6"/>
      <c r="K115" s="6"/>
      <c r="L115" s="6"/>
      <c r="M115" s="6"/>
    </row>
    <row r="116" spans="1:13" ht="15.75" customHeight="1" x14ac:dyDescent="0.35">
      <c r="A116" s="6" t="s">
        <v>64</v>
      </c>
      <c r="B116" s="11"/>
      <c r="C116" s="11"/>
      <c r="D116" s="11"/>
      <c r="E116" s="6"/>
      <c r="F116" s="6"/>
      <c r="G116" s="6"/>
      <c r="H116" s="6"/>
      <c r="I116" s="6"/>
      <c r="J116" s="6"/>
      <c r="K116" s="6"/>
      <c r="L116" s="6"/>
      <c r="M116" s="6"/>
    </row>
    <row r="117" spans="1:13" ht="15.75" customHeight="1" x14ac:dyDescent="0.35">
      <c r="A117" s="6" t="s">
        <v>65</v>
      </c>
      <c r="B117" s="11"/>
      <c r="C117" s="11"/>
      <c r="D117" s="11"/>
      <c r="E117" s="6"/>
      <c r="F117" s="6"/>
      <c r="G117" s="6"/>
      <c r="H117" s="6"/>
      <c r="I117" s="6"/>
      <c r="J117" s="6"/>
      <c r="K117" s="6"/>
      <c r="L117" s="6"/>
      <c r="M117" s="6"/>
    </row>
    <row r="118" spans="1:13" ht="15.75" customHeight="1" x14ac:dyDescent="0.35">
      <c r="A118" s="14" t="s">
        <v>66</v>
      </c>
      <c r="B118" s="11"/>
      <c r="C118" s="11"/>
      <c r="D118" s="11"/>
      <c r="E118" s="6"/>
      <c r="F118" s="6"/>
      <c r="G118" s="6"/>
      <c r="H118" s="6"/>
      <c r="I118" s="6"/>
      <c r="J118" s="6"/>
      <c r="K118" s="6"/>
      <c r="L118" s="6"/>
      <c r="M118" s="6"/>
    </row>
    <row r="119" spans="1:13" ht="15.75" customHeight="1" x14ac:dyDescent="0.35">
      <c r="A119" s="6" t="s">
        <v>67</v>
      </c>
      <c r="B119" s="11"/>
      <c r="C119" s="11"/>
      <c r="D119" s="11"/>
      <c r="E119" s="6"/>
      <c r="F119" s="6"/>
      <c r="G119" s="6"/>
      <c r="H119" s="6"/>
      <c r="I119" s="6"/>
      <c r="J119" s="6"/>
      <c r="K119" s="6"/>
      <c r="L119" s="6"/>
      <c r="M119" s="6"/>
    </row>
    <row r="120" spans="1:13" ht="15.75" customHeight="1" x14ac:dyDescent="0.35">
      <c r="A120" s="6" t="s">
        <v>68</v>
      </c>
      <c r="B120" s="11"/>
      <c r="C120" s="11"/>
      <c r="D120" s="11"/>
      <c r="E120" s="6"/>
      <c r="F120" s="6"/>
      <c r="G120" s="6"/>
      <c r="H120" s="6"/>
      <c r="I120" s="6"/>
      <c r="J120" s="6"/>
      <c r="K120" s="6"/>
      <c r="L120" s="6"/>
      <c r="M120" s="6"/>
    </row>
    <row r="121" spans="1:13" ht="15.75" customHeight="1" x14ac:dyDescent="0.35">
      <c r="A121" s="6" t="s">
        <v>69</v>
      </c>
      <c r="B121" s="11"/>
      <c r="C121" s="11"/>
      <c r="D121" s="11"/>
      <c r="E121" s="6"/>
      <c r="F121" s="6"/>
      <c r="G121" s="6"/>
      <c r="H121" s="6"/>
      <c r="I121" s="6"/>
      <c r="J121" s="6"/>
      <c r="K121" s="6"/>
      <c r="L121" s="6"/>
      <c r="M121" s="6"/>
    </row>
    <row r="122" spans="1:13" ht="15.75" customHeight="1" x14ac:dyDescent="0.35">
      <c r="A122" s="14" t="s">
        <v>70</v>
      </c>
      <c r="B122" s="11"/>
      <c r="C122" s="11"/>
      <c r="D122" s="11"/>
      <c r="E122" s="6"/>
      <c r="F122" s="6"/>
      <c r="G122" s="6"/>
      <c r="H122" s="6"/>
      <c r="I122" s="6"/>
      <c r="J122" s="6"/>
      <c r="K122" s="6"/>
      <c r="L122" s="6"/>
      <c r="M122" s="6"/>
    </row>
    <row r="123" spans="1:13" ht="15.75" customHeight="1" x14ac:dyDescent="0.35">
      <c r="A123" s="6" t="s">
        <v>71</v>
      </c>
      <c r="B123" s="11"/>
      <c r="C123" s="11"/>
      <c r="D123" s="11"/>
      <c r="E123" s="6"/>
      <c r="F123" s="6"/>
      <c r="G123" s="6"/>
      <c r="H123" s="6"/>
      <c r="I123" s="6"/>
      <c r="J123" s="6"/>
      <c r="K123" s="6"/>
      <c r="L123" s="6"/>
      <c r="M123" s="6"/>
    </row>
    <row r="124" spans="1:13" ht="15.75" customHeight="1" x14ac:dyDescent="0.35">
      <c r="A124" s="6" t="s">
        <v>72</v>
      </c>
      <c r="B124" s="11"/>
      <c r="C124" s="11"/>
      <c r="D124" s="11"/>
      <c r="E124" s="6"/>
      <c r="F124" s="6"/>
      <c r="G124" s="6"/>
      <c r="H124" s="6"/>
      <c r="I124" s="6"/>
      <c r="J124" s="6"/>
      <c r="K124" s="6"/>
      <c r="L124" s="6"/>
      <c r="M124" s="6"/>
    </row>
    <row r="125" spans="1:13" ht="15.75" customHeight="1" x14ac:dyDescent="0.35">
      <c r="A125" s="6" t="s">
        <v>73</v>
      </c>
      <c r="B125" s="11"/>
      <c r="C125" s="11"/>
      <c r="D125" s="11"/>
      <c r="E125" s="6"/>
      <c r="F125" s="6"/>
      <c r="G125" s="6"/>
      <c r="H125" s="6"/>
      <c r="I125" s="6"/>
      <c r="J125" s="6"/>
      <c r="K125" s="6"/>
      <c r="L125" s="6"/>
      <c r="M125" s="6"/>
    </row>
    <row r="126" spans="1:13" ht="15.75" customHeight="1" x14ac:dyDescent="0.35">
      <c r="A126" s="15"/>
      <c r="B126" s="16"/>
      <c r="C126" s="16"/>
      <c r="D126" s="16"/>
    </row>
    <row r="127" spans="1:13" ht="15.75" customHeight="1" x14ac:dyDescent="0.35">
      <c r="A127" t="s">
        <v>74</v>
      </c>
      <c r="B127" s="16"/>
      <c r="C127" s="16"/>
      <c r="D127" s="16"/>
    </row>
    <row r="128" spans="1:13" ht="15.75" customHeight="1" x14ac:dyDescent="0.35">
      <c r="A128" s="17" t="s">
        <v>75</v>
      </c>
      <c r="B128" s="16"/>
      <c r="C128" s="16"/>
      <c r="D128" s="16"/>
    </row>
    <row r="129" spans="1:1" ht="15.75" customHeight="1" x14ac:dyDescent="0.35">
      <c r="A129" s="17" t="s">
        <v>76</v>
      </c>
    </row>
    <row r="130" spans="1:1" ht="15.75" customHeight="1" x14ac:dyDescent="0.35">
      <c r="A130" s="17" t="s">
        <v>77</v>
      </c>
    </row>
    <row r="131" spans="1:1" ht="15.75" customHeight="1" x14ac:dyDescent="0.35">
      <c r="A131" s="17" t="s">
        <v>78</v>
      </c>
    </row>
    <row r="132" spans="1:1" ht="15.75" customHeight="1" x14ac:dyDescent="0.35">
      <c r="A132" s="17" t="s">
        <v>79</v>
      </c>
    </row>
    <row r="133" spans="1:1" ht="15.75" customHeight="1" x14ac:dyDescent="0.35"/>
    <row r="134" spans="1:1" ht="15.75" customHeight="1" x14ac:dyDescent="0.35"/>
    <row r="135" spans="1:1" ht="15.75" customHeight="1" x14ac:dyDescent="0.35"/>
    <row r="136" spans="1:1" ht="15.75" customHeight="1" x14ac:dyDescent="0.35">
      <c r="A136" s="18"/>
    </row>
  </sheetData>
  <mergeCells count="32">
    <mergeCell ref="B27:M27"/>
    <mergeCell ref="B26:M26"/>
    <mergeCell ref="B38:M38"/>
    <mergeCell ref="B39:M39"/>
    <mergeCell ref="B44:M44"/>
    <mergeCell ref="B43:M43"/>
    <mergeCell ref="B41:M41"/>
    <mergeCell ref="B42:M42"/>
    <mergeCell ref="B40:M40"/>
    <mergeCell ref="B37:M37"/>
    <mergeCell ref="B50:M50"/>
    <mergeCell ref="B45:M45"/>
    <mergeCell ref="B46:M46"/>
    <mergeCell ref="B47:M47"/>
    <mergeCell ref="B48:M48"/>
    <mergeCell ref="B49:M49"/>
    <mergeCell ref="B19:M19"/>
    <mergeCell ref="B31:M31"/>
    <mergeCell ref="B32:M32"/>
    <mergeCell ref="B36:M36"/>
    <mergeCell ref="B34:M34"/>
    <mergeCell ref="B35:M35"/>
    <mergeCell ref="B22:M22"/>
    <mergeCell ref="B33:M33"/>
    <mergeCell ref="B20:M20"/>
    <mergeCell ref="B21:M21"/>
    <mergeCell ref="B30:M30"/>
    <mergeCell ref="B28:M28"/>
    <mergeCell ref="B29:M29"/>
    <mergeCell ref="B23:M23"/>
    <mergeCell ref="B24:M24"/>
    <mergeCell ref="B25:M25"/>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F93B-6D64-4B5C-97E1-5671FDE004E4}">
  <sheetPr>
    <tabColor theme="0" tint="-0.14999847407452621"/>
  </sheetPr>
  <dimension ref="A1:AY123"/>
  <sheetViews>
    <sheetView topLeftCell="A57" zoomScaleNormal="100" workbookViewId="0">
      <selection activeCell="B115" sqref="B115"/>
    </sheetView>
  </sheetViews>
  <sheetFormatPr defaultColWidth="14.453125" defaultRowHeight="15" customHeight="1" x14ac:dyDescent="0.25"/>
  <cols>
    <col min="1" max="1" width="33.81640625" style="35" bestFit="1" customWidth="1"/>
    <col min="2" max="2" width="10.1796875" style="35" bestFit="1" customWidth="1"/>
    <col min="3" max="3" width="11.08984375" style="35" bestFit="1" customWidth="1"/>
    <col min="4" max="5" width="10.6328125" style="35" bestFit="1" customWidth="1"/>
    <col min="6" max="6" width="10.90625" style="35" bestFit="1" customWidth="1"/>
    <col min="7" max="7" width="11.81640625" style="35" bestFit="1" customWidth="1"/>
    <col min="8" max="8" width="10.453125" style="35" bestFit="1" customWidth="1"/>
    <col min="9" max="10" width="10.90625" style="35" bestFit="1" customWidth="1"/>
    <col min="11" max="12" width="10" style="35" bestFit="1" customWidth="1"/>
    <col min="13" max="13" width="10.54296875" style="35" bestFit="1" customWidth="1"/>
    <col min="14" max="14" width="10.1796875" style="35" bestFit="1" customWidth="1"/>
    <col min="15" max="15" width="11.08984375" style="35" bestFit="1" customWidth="1"/>
    <col min="16" max="16" width="10.1796875" style="35" bestFit="1" customWidth="1"/>
    <col min="17" max="17" width="9.453125" style="35" bestFit="1" customWidth="1"/>
    <col min="18" max="18" width="10.81640625" style="35" bestFit="1" customWidth="1"/>
    <col min="19" max="20" width="10.453125" style="35" bestFit="1" customWidth="1"/>
    <col min="21" max="22" width="10.90625" style="35" bestFit="1" customWidth="1"/>
    <col min="23" max="23" width="10.36328125" style="35" bestFit="1" customWidth="1"/>
    <col min="24" max="24" width="10.453125" style="35" bestFit="1" customWidth="1"/>
    <col min="25" max="25" width="10.54296875" style="35" bestFit="1" customWidth="1"/>
    <col min="26" max="16384" width="14.453125" style="35"/>
  </cols>
  <sheetData>
    <row r="1" spans="1:51" ht="15" customHeight="1" x14ac:dyDescent="0.3">
      <c r="A1" s="33" t="s">
        <v>108</v>
      </c>
      <c r="B1" s="34"/>
      <c r="C1" s="34"/>
      <c r="D1" s="34"/>
      <c r="E1" s="34"/>
      <c r="F1" s="34"/>
      <c r="G1" s="34"/>
      <c r="H1" s="34"/>
      <c r="I1" s="34"/>
      <c r="J1" s="34"/>
      <c r="K1" s="34"/>
      <c r="L1" s="34"/>
      <c r="M1" s="34"/>
      <c r="N1" s="34"/>
      <c r="O1" s="34"/>
      <c r="P1" s="34"/>
      <c r="Q1" s="34"/>
      <c r="R1" s="34"/>
      <c r="S1" s="34"/>
      <c r="T1" s="34"/>
      <c r="U1" s="34"/>
      <c r="V1" s="34"/>
      <c r="W1" s="34"/>
      <c r="X1" s="34"/>
      <c r="Y1" s="34"/>
    </row>
    <row r="2" spans="1:51" ht="15" customHeight="1" x14ac:dyDescent="0.3">
      <c r="A2" s="33" t="s">
        <v>109</v>
      </c>
      <c r="B2" s="152"/>
      <c r="C2" s="152"/>
      <c r="D2" s="152"/>
      <c r="E2" s="152"/>
      <c r="F2" s="152"/>
      <c r="G2" s="152"/>
      <c r="H2" s="152"/>
      <c r="I2" s="152"/>
      <c r="J2" s="152"/>
      <c r="K2" s="152"/>
      <c r="L2" s="152"/>
      <c r="M2" s="152"/>
      <c r="N2" s="34"/>
      <c r="O2" s="34"/>
      <c r="P2" s="34"/>
      <c r="Q2" s="34"/>
      <c r="R2" s="34"/>
      <c r="S2" s="34"/>
      <c r="T2" s="34"/>
      <c r="U2" s="34"/>
      <c r="V2" s="34"/>
      <c r="W2" s="34"/>
      <c r="X2" s="34"/>
      <c r="Y2" s="34"/>
    </row>
    <row r="3" spans="1:51" ht="15" customHeight="1" x14ac:dyDescent="0.3">
      <c r="A3" s="36"/>
      <c r="B3" s="36" t="s">
        <v>110</v>
      </c>
      <c r="C3" s="36" t="s">
        <v>111</v>
      </c>
      <c r="D3" s="37" t="s">
        <v>112</v>
      </c>
      <c r="E3" s="37" t="s">
        <v>113</v>
      </c>
      <c r="F3" s="37" t="s">
        <v>114</v>
      </c>
      <c r="G3" s="38" t="s">
        <v>115</v>
      </c>
      <c r="H3" s="38"/>
      <c r="I3" s="38"/>
      <c r="J3" s="38"/>
      <c r="K3" s="38"/>
      <c r="L3" s="38"/>
      <c r="M3" s="38"/>
      <c r="N3" s="36"/>
      <c r="O3" s="36"/>
      <c r="P3" s="36"/>
      <c r="Q3" s="36"/>
      <c r="R3" s="36"/>
      <c r="S3" s="36"/>
      <c r="T3" s="36"/>
      <c r="U3" s="36"/>
      <c r="V3" s="36"/>
      <c r="W3" s="36"/>
      <c r="X3" s="36"/>
      <c r="Y3" s="36"/>
    </row>
    <row r="4" spans="1:51" ht="15" customHeight="1" x14ac:dyDescent="0.25">
      <c r="A4" s="118" t="s">
        <v>80</v>
      </c>
      <c r="B4" s="119">
        <v>863</v>
      </c>
      <c r="C4" s="119">
        <v>1061</v>
      </c>
      <c r="D4" s="119">
        <v>1269</v>
      </c>
      <c r="E4" s="119">
        <v>1467</v>
      </c>
      <c r="F4" s="119"/>
      <c r="G4" s="41"/>
      <c r="H4" s="42"/>
      <c r="I4" s="42"/>
      <c r="J4" s="42"/>
      <c r="K4" s="42"/>
      <c r="L4" s="42"/>
      <c r="M4" s="42"/>
      <c r="N4" s="42"/>
      <c r="O4" s="42"/>
      <c r="P4" s="42"/>
      <c r="Q4" s="42"/>
      <c r="R4" s="42"/>
      <c r="S4" s="42"/>
      <c r="T4" s="42"/>
      <c r="U4" s="42"/>
      <c r="V4" s="42"/>
      <c r="W4" s="42"/>
      <c r="X4" s="42"/>
      <c r="Y4" s="42"/>
    </row>
    <row r="5" spans="1:51" ht="15" customHeight="1" x14ac:dyDescent="0.25">
      <c r="A5" s="48" t="s">
        <v>81</v>
      </c>
      <c r="B5" s="49"/>
      <c r="C5" s="49">
        <f>(C4-B4)/B4</f>
        <v>0.22943221320973348</v>
      </c>
      <c r="D5" s="49">
        <f>(D4-C4)/C4</f>
        <v>0.19604147031102734</v>
      </c>
      <c r="E5" s="49">
        <f>(E4-D4)/D4</f>
        <v>0.15602836879432624</v>
      </c>
      <c r="F5" s="49">
        <f>(F4-E4)/E4</f>
        <v>-1</v>
      </c>
      <c r="G5" s="45"/>
      <c r="H5" s="46"/>
      <c r="I5" s="46"/>
      <c r="J5" s="46"/>
      <c r="K5" s="46"/>
      <c r="L5" s="46"/>
      <c r="M5" s="46"/>
      <c r="N5" s="46"/>
      <c r="O5" s="46"/>
      <c r="P5" s="46"/>
      <c r="Q5" s="46"/>
      <c r="R5" s="46"/>
      <c r="S5" s="46"/>
      <c r="T5" s="46"/>
      <c r="U5" s="46"/>
      <c r="V5" s="46"/>
      <c r="W5" s="46"/>
      <c r="X5" s="46"/>
      <c r="Y5" s="46"/>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row>
    <row r="6" spans="1:51" s="50" customFormat="1" ht="15" customHeight="1" x14ac:dyDescent="0.25">
      <c r="A6" s="118" t="s">
        <v>117</v>
      </c>
      <c r="B6" s="119">
        <v>260</v>
      </c>
      <c r="C6" s="119">
        <v>324</v>
      </c>
      <c r="D6" s="119">
        <v>395</v>
      </c>
      <c r="E6" s="119">
        <v>441</v>
      </c>
      <c r="F6" s="119"/>
      <c r="G6" s="49">
        <f>(G5-F5)/F5</f>
        <v>-1</v>
      </c>
      <c r="H6" s="49"/>
      <c r="I6" s="49"/>
      <c r="J6" s="49"/>
      <c r="K6" s="49"/>
      <c r="L6" s="49"/>
      <c r="M6" s="49"/>
      <c r="N6" s="49"/>
      <c r="O6" s="49"/>
      <c r="P6" s="49"/>
      <c r="Q6" s="49"/>
      <c r="R6" s="49"/>
      <c r="S6" s="49"/>
      <c r="T6" s="49"/>
      <c r="U6" s="49"/>
      <c r="V6" s="49"/>
      <c r="W6" s="49"/>
      <c r="X6" s="49"/>
      <c r="Y6" s="49"/>
    </row>
    <row r="7" spans="1:51" ht="15" customHeight="1" x14ac:dyDescent="0.25">
      <c r="A7" s="48" t="s">
        <v>83</v>
      </c>
      <c r="B7" s="49"/>
      <c r="C7" s="49">
        <f>(C6-B6)/B6</f>
        <v>0.24615384615384617</v>
      </c>
      <c r="D7" s="49">
        <f>(D6-C6)/C6</f>
        <v>0.2191358024691358</v>
      </c>
      <c r="E7" s="49">
        <f>(E6-D6)/D6</f>
        <v>0.11645569620253164</v>
      </c>
      <c r="F7" s="49">
        <f>(F6-E6)/E6</f>
        <v>-1</v>
      </c>
      <c r="G7" s="45"/>
      <c r="H7" s="46"/>
      <c r="I7" s="46"/>
      <c r="J7" s="46"/>
      <c r="K7" s="46"/>
      <c r="L7" s="46"/>
      <c r="M7" s="46"/>
      <c r="N7" s="46"/>
      <c r="O7" s="46"/>
      <c r="P7" s="46"/>
      <c r="Q7" s="46"/>
      <c r="R7" s="46"/>
      <c r="S7" s="46"/>
      <c r="T7" s="46"/>
      <c r="U7" s="46"/>
      <c r="V7" s="46"/>
      <c r="W7" s="46"/>
      <c r="X7" s="46"/>
      <c r="Y7" s="46"/>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row>
    <row r="8" spans="1:51" s="50" customFormat="1" ht="15" customHeight="1" x14ac:dyDescent="0.25">
      <c r="A8" s="118" t="s">
        <v>118</v>
      </c>
      <c r="B8" s="119">
        <v>215</v>
      </c>
      <c r="C8" s="119">
        <v>242</v>
      </c>
      <c r="D8" s="119">
        <v>300</v>
      </c>
      <c r="E8" s="119">
        <v>377</v>
      </c>
      <c r="F8" s="119"/>
      <c r="G8" s="49">
        <f>(G7-F7)/F7</f>
        <v>-1</v>
      </c>
      <c r="H8" s="49"/>
      <c r="I8" s="49"/>
      <c r="J8" s="49"/>
      <c r="K8" s="49"/>
      <c r="L8" s="49"/>
      <c r="M8" s="49"/>
      <c r="N8" s="49"/>
      <c r="O8" s="49"/>
      <c r="P8" s="49"/>
      <c r="Q8" s="49"/>
      <c r="R8" s="49"/>
      <c r="S8" s="49"/>
      <c r="T8" s="49"/>
      <c r="U8" s="49"/>
      <c r="V8" s="49"/>
      <c r="W8" s="49"/>
      <c r="X8" s="49"/>
      <c r="Y8" s="49"/>
    </row>
    <row r="9" spans="1:51" ht="15" customHeight="1" x14ac:dyDescent="0.25">
      <c r="A9" s="48" t="s">
        <v>85</v>
      </c>
      <c r="B9" s="49"/>
      <c r="C9" s="49">
        <f>(C8-B8)/B8</f>
        <v>0.12558139534883722</v>
      </c>
      <c r="D9" s="49">
        <f>(D8-C8)/C8</f>
        <v>0.23966942148760331</v>
      </c>
      <c r="E9" s="49">
        <f>(E8-D8)/D8</f>
        <v>0.25666666666666665</v>
      </c>
      <c r="F9" s="49">
        <f>(F8-E8)/E8</f>
        <v>-1</v>
      </c>
      <c r="G9" s="45"/>
      <c r="H9" s="46"/>
      <c r="I9" s="46"/>
      <c r="J9" s="46"/>
      <c r="K9" s="46"/>
      <c r="L9" s="46"/>
      <c r="M9" s="46"/>
      <c r="N9" s="46"/>
      <c r="O9" s="46"/>
      <c r="P9" s="46"/>
      <c r="Q9" s="46"/>
      <c r="R9" s="46"/>
      <c r="S9" s="46"/>
      <c r="T9" s="46"/>
      <c r="U9" s="46"/>
      <c r="V9" s="46"/>
      <c r="W9" s="46"/>
      <c r="X9" s="46"/>
      <c r="Y9" s="46"/>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row>
    <row r="10" spans="1:51" s="50" customFormat="1" ht="15" customHeight="1" x14ac:dyDescent="0.25">
      <c r="A10" s="51" t="s">
        <v>8</v>
      </c>
      <c r="B10" s="52">
        <v>28.42</v>
      </c>
      <c r="C10" s="52">
        <v>32.03</v>
      </c>
      <c r="D10" s="52">
        <v>39.56</v>
      </c>
      <c r="E10" s="52">
        <v>49.62</v>
      </c>
      <c r="F10" s="52"/>
      <c r="G10" s="49">
        <f>(G9-F9)/F9</f>
        <v>-1</v>
      </c>
      <c r="H10" s="49"/>
      <c r="I10" s="49"/>
      <c r="J10" s="49"/>
      <c r="K10" s="49"/>
      <c r="L10" s="49"/>
      <c r="M10" s="49"/>
      <c r="N10" s="49"/>
      <c r="O10" s="49"/>
      <c r="P10" s="49"/>
      <c r="Q10" s="49"/>
      <c r="R10" s="49"/>
      <c r="S10" s="49"/>
      <c r="T10" s="49"/>
      <c r="U10" s="49"/>
      <c r="V10" s="49"/>
      <c r="W10" s="49"/>
      <c r="X10" s="49"/>
      <c r="Y10" s="49"/>
    </row>
    <row r="11" spans="1:51" s="53" customFormat="1" ht="15" customHeight="1" x14ac:dyDescent="0.25">
      <c r="A11" s="120" t="s">
        <v>88</v>
      </c>
      <c r="B11" s="54">
        <v>0.27489999999999998</v>
      </c>
      <c r="C11" s="54">
        <v>0.25819999999999999</v>
      </c>
      <c r="D11" s="54">
        <v>0.25390000000000001</v>
      </c>
      <c r="E11" s="54">
        <v>0.23499999999999999</v>
      </c>
      <c r="F11" s="54"/>
      <c r="G11" s="52"/>
      <c r="H11" s="52"/>
      <c r="I11" s="52"/>
      <c r="J11" s="52"/>
      <c r="K11" s="52"/>
      <c r="L11" s="52"/>
      <c r="M11" s="52"/>
      <c r="N11" s="52"/>
      <c r="O11" s="52"/>
      <c r="P11" s="52"/>
      <c r="Q11" s="52"/>
      <c r="R11" s="52"/>
      <c r="S11" s="52"/>
      <c r="T11" s="52"/>
      <c r="U11" s="52"/>
      <c r="V11" s="52"/>
      <c r="W11" s="52"/>
      <c r="X11" s="52"/>
      <c r="Y11" s="52"/>
    </row>
    <row r="12" spans="1:51" s="55" customFormat="1" ht="15" customHeight="1" x14ac:dyDescent="0.25">
      <c r="A12" s="121" t="s">
        <v>89</v>
      </c>
      <c r="B12" s="54">
        <v>0.191</v>
      </c>
      <c r="C12" s="54">
        <v>0.1777</v>
      </c>
      <c r="D12" s="54">
        <v>0.17330000000000001</v>
      </c>
      <c r="E12" s="54">
        <v>0.1716</v>
      </c>
      <c r="F12" s="54"/>
      <c r="G12" s="54"/>
      <c r="H12" s="54"/>
      <c r="I12" s="54"/>
      <c r="J12" s="54"/>
      <c r="K12" s="54"/>
      <c r="L12" s="54"/>
      <c r="M12" s="54"/>
      <c r="N12" s="54"/>
      <c r="O12" s="54"/>
      <c r="P12" s="54"/>
      <c r="Q12" s="54"/>
      <c r="R12" s="54"/>
      <c r="S12" s="54"/>
      <c r="T12" s="54"/>
      <c r="U12" s="54"/>
      <c r="V12" s="54"/>
      <c r="W12" s="54"/>
      <c r="X12" s="54"/>
      <c r="Y12" s="54"/>
    </row>
    <row r="13" spans="1:51" s="55" customFormat="1" ht="15" customHeight="1" x14ac:dyDescent="0.25">
      <c r="A13" s="121" t="s">
        <v>106</v>
      </c>
      <c r="B13" s="54">
        <v>0.24399999999999999</v>
      </c>
      <c r="C13" s="54">
        <v>0.29759999999999998</v>
      </c>
      <c r="D13" s="54">
        <v>0.29799999999999999</v>
      </c>
      <c r="E13" s="54"/>
      <c r="F13" s="54"/>
      <c r="G13" s="54"/>
      <c r="H13" s="54"/>
      <c r="I13" s="54"/>
      <c r="J13" s="54"/>
      <c r="K13" s="54"/>
      <c r="L13" s="54"/>
      <c r="M13" s="54"/>
      <c r="N13" s="54"/>
      <c r="O13" s="54"/>
      <c r="P13" s="54"/>
      <c r="Q13" s="54"/>
      <c r="R13" s="54"/>
      <c r="S13" s="54"/>
      <c r="T13" s="54"/>
      <c r="U13" s="54"/>
      <c r="V13" s="54"/>
      <c r="W13" s="54"/>
      <c r="X13" s="54"/>
      <c r="Y13" s="54"/>
    </row>
    <row r="14" spans="1:51" s="54" customFormat="1" ht="15" customHeight="1" x14ac:dyDescent="0.25">
      <c r="A14" s="121" t="s">
        <v>119</v>
      </c>
      <c r="B14" s="54">
        <v>0.34920000000000001</v>
      </c>
      <c r="C14" s="54">
        <v>0.33179999999999998</v>
      </c>
      <c r="D14" s="54">
        <v>0.34139999999999998</v>
      </c>
    </row>
    <row r="15" spans="1:51" s="54" customFormat="1" ht="15" customHeight="1" x14ac:dyDescent="0.25">
      <c r="A15" s="121" t="s">
        <v>91</v>
      </c>
      <c r="B15" s="54">
        <v>0.24909999999999999</v>
      </c>
      <c r="C15" s="54">
        <v>0.2283</v>
      </c>
      <c r="D15" s="54">
        <v>0.23619999999999999</v>
      </c>
    </row>
    <row r="16" spans="1:51" s="54" customFormat="1" ht="15" customHeight="1" x14ac:dyDescent="0.25">
      <c r="A16" s="98" t="s">
        <v>120</v>
      </c>
      <c r="B16" s="122"/>
      <c r="C16" s="122"/>
      <c r="D16" s="122"/>
      <c r="E16" s="122"/>
      <c r="F16" s="122"/>
    </row>
    <row r="17" spans="1:51" ht="15" customHeight="1" x14ac:dyDescent="0.25">
      <c r="A17" s="118" t="s">
        <v>90</v>
      </c>
      <c r="B17" s="123">
        <v>0</v>
      </c>
      <c r="C17" s="123">
        <v>0</v>
      </c>
      <c r="D17" s="123">
        <v>0</v>
      </c>
      <c r="E17" s="123">
        <v>0</v>
      </c>
      <c r="F17" s="123"/>
      <c r="G17" s="42"/>
      <c r="H17" s="42"/>
      <c r="I17" s="42"/>
      <c r="J17" s="42"/>
      <c r="K17" s="42"/>
      <c r="L17" s="42"/>
      <c r="M17" s="42"/>
      <c r="N17" s="42"/>
      <c r="O17" s="42"/>
      <c r="P17" s="42"/>
      <c r="Q17" s="42"/>
      <c r="R17" s="42"/>
      <c r="S17" s="42"/>
      <c r="T17" s="42"/>
      <c r="U17" s="42"/>
      <c r="V17" s="42"/>
      <c r="W17" s="42"/>
      <c r="X17" s="42"/>
      <c r="Y17" s="42"/>
    </row>
    <row r="18" spans="1:51" ht="15" customHeight="1" x14ac:dyDescent="0.25">
      <c r="A18" s="118" t="s">
        <v>121</v>
      </c>
      <c r="B18" s="123">
        <v>1.05</v>
      </c>
      <c r="C18" s="123">
        <v>2.2799999999999998</v>
      </c>
      <c r="D18" s="123">
        <v>1.89</v>
      </c>
      <c r="E18" s="123"/>
      <c r="F18" s="123"/>
      <c r="G18" s="46"/>
      <c r="H18" s="46"/>
      <c r="I18" s="46"/>
      <c r="J18" s="46"/>
      <c r="K18" s="46"/>
      <c r="L18" s="46"/>
      <c r="M18" s="46"/>
      <c r="N18" s="46"/>
      <c r="O18" s="46"/>
      <c r="P18" s="46"/>
      <c r="Q18" s="46"/>
      <c r="R18" s="46"/>
      <c r="S18" s="46"/>
      <c r="T18" s="46"/>
      <c r="U18" s="46"/>
      <c r="V18" s="46"/>
      <c r="W18" s="46"/>
      <c r="X18" s="46"/>
      <c r="Y18" s="46"/>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1:51" ht="15" customHeight="1" x14ac:dyDescent="0.25">
      <c r="A19" s="118" t="s">
        <v>122</v>
      </c>
      <c r="B19" s="123">
        <v>44.68</v>
      </c>
      <c r="C19" s="123">
        <v>269</v>
      </c>
      <c r="D19" s="123">
        <v>337</v>
      </c>
      <c r="E19" s="123">
        <v>272</v>
      </c>
      <c r="F19" s="123"/>
      <c r="G19" s="46"/>
      <c r="H19" s="46"/>
      <c r="I19" s="46"/>
      <c r="J19" s="46"/>
      <c r="K19" s="46"/>
      <c r="L19" s="46"/>
      <c r="M19" s="46"/>
      <c r="N19" s="46"/>
      <c r="O19" s="46"/>
      <c r="P19" s="46"/>
      <c r="Q19" s="46"/>
      <c r="R19" s="46"/>
      <c r="S19" s="46"/>
      <c r="T19" s="46"/>
      <c r="U19" s="46"/>
      <c r="V19" s="46"/>
      <c r="W19" s="46"/>
      <c r="X19" s="46"/>
      <c r="Y19" s="46"/>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row>
    <row r="20" spans="1:51" ht="15" customHeight="1" x14ac:dyDescent="0.25">
      <c r="A20" s="124" t="s">
        <v>123</v>
      </c>
      <c r="B20" s="54">
        <f t="shared" ref="B20:F20" si="0">B19/B6</f>
        <v>0.17184615384615384</v>
      </c>
      <c r="C20" s="54">
        <f t="shared" si="0"/>
        <v>0.83024691358024694</v>
      </c>
      <c r="D20" s="54">
        <f t="shared" si="0"/>
        <v>0.85316455696202531</v>
      </c>
      <c r="E20" s="54">
        <f t="shared" si="0"/>
        <v>0.6167800453514739</v>
      </c>
      <c r="F20" s="54" t="e">
        <f t="shared" si="0"/>
        <v>#DIV/0!</v>
      </c>
      <c r="G20" s="46"/>
      <c r="H20" s="46"/>
      <c r="I20" s="46"/>
      <c r="J20" s="46"/>
      <c r="K20" s="46"/>
      <c r="L20" s="46"/>
      <c r="M20" s="46"/>
      <c r="N20" s="46"/>
      <c r="O20" s="46"/>
      <c r="P20" s="46"/>
      <c r="Q20" s="46"/>
      <c r="R20" s="46"/>
      <c r="S20" s="46"/>
      <c r="T20" s="46"/>
      <c r="U20" s="46"/>
      <c r="V20" s="46"/>
      <c r="W20" s="46"/>
      <c r="X20" s="46"/>
      <c r="Y20" s="46"/>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row>
    <row r="21" spans="1:51" ht="15" customHeight="1" x14ac:dyDescent="0.25">
      <c r="A21" s="118" t="s">
        <v>92</v>
      </c>
      <c r="B21" s="123">
        <v>5.7</v>
      </c>
      <c r="C21" s="123">
        <v>7.1</v>
      </c>
      <c r="D21" s="123">
        <v>6.25</v>
      </c>
      <c r="E21" s="123"/>
      <c r="F21" s="123"/>
      <c r="G21" s="54"/>
      <c r="H21" s="54"/>
      <c r="I21" s="54"/>
      <c r="J21" s="54"/>
      <c r="K21" s="54"/>
      <c r="L21" s="54"/>
      <c r="M21" s="54"/>
      <c r="N21" s="54"/>
      <c r="O21" s="54"/>
      <c r="P21" s="54"/>
      <c r="Q21" s="54"/>
      <c r="R21" s="54"/>
      <c r="S21" s="54"/>
      <c r="T21" s="54"/>
      <c r="U21" s="54"/>
      <c r="V21" s="54"/>
      <c r="W21" s="54"/>
      <c r="X21" s="54"/>
      <c r="Y21" s="54"/>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row>
    <row r="22" spans="1:51" ht="15" customHeight="1" x14ac:dyDescent="0.25">
      <c r="A22" s="118" t="s">
        <v>124</v>
      </c>
      <c r="B22" s="123">
        <v>51.99</v>
      </c>
      <c r="C22" s="123">
        <v>62.15</v>
      </c>
      <c r="D22" s="123">
        <v>124.66</v>
      </c>
      <c r="E22" s="123">
        <v>372</v>
      </c>
      <c r="F22" s="123"/>
      <c r="G22" s="46"/>
      <c r="H22" s="46"/>
      <c r="I22" s="46"/>
      <c r="J22" s="46"/>
      <c r="K22" s="46"/>
      <c r="L22" s="46"/>
      <c r="M22" s="46"/>
      <c r="N22" s="46"/>
      <c r="O22" s="46"/>
      <c r="P22" s="46"/>
      <c r="Q22" s="46"/>
      <c r="R22" s="46"/>
      <c r="S22" s="46"/>
      <c r="T22" s="46"/>
      <c r="U22" s="46"/>
      <c r="V22" s="46"/>
      <c r="W22" s="46"/>
      <c r="X22" s="46"/>
      <c r="Y22" s="46"/>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row>
    <row r="23" spans="1:51" ht="15" customHeight="1" x14ac:dyDescent="0.25">
      <c r="A23" s="118" t="s">
        <v>125</v>
      </c>
      <c r="B23" s="123">
        <v>76.739999999999995</v>
      </c>
      <c r="C23" s="123">
        <v>73.33</v>
      </c>
      <c r="D23" s="123">
        <v>91.18</v>
      </c>
      <c r="E23" s="123">
        <v>194</v>
      </c>
      <c r="F23" s="123"/>
      <c r="G23" s="46"/>
      <c r="H23" s="46"/>
      <c r="I23" s="46"/>
      <c r="J23" s="46"/>
      <c r="K23" s="46"/>
      <c r="L23" s="46"/>
      <c r="M23" s="46"/>
      <c r="N23" s="46"/>
      <c r="O23" s="46"/>
      <c r="P23" s="46"/>
      <c r="Q23" s="46"/>
      <c r="R23" s="46"/>
      <c r="S23" s="46"/>
      <c r="T23" s="46"/>
      <c r="U23" s="46"/>
      <c r="V23" s="46"/>
      <c r="W23" s="46"/>
      <c r="X23" s="46"/>
      <c r="Y23" s="46"/>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row>
    <row r="24" spans="1:51" ht="15" customHeight="1" x14ac:dyDescent="0.25">
      <c r="A24" s="118" t="s">
        <v>126</v>
      </c>
      <c r="B24" s="123"/>
      <c r="C24" s="123"/>
      <c r="D24" s="123"/>
      <c r="E24" s="123"/>
      <c r="F24" s="123"/>
      <c r="G24" s="46"/>
      <c r="H24" s="46"/>
      <c r="I24" s="46"/>
      <c r="J24" s="46"/>
      <c r="K24" s="46"/>
      <c r="L24" s="46"/>
      <c r="M24" s="46"/>
      <c r="N24" s="46"/>
      <c r="O24" s="46"/>
      <c r="P24" s="46"/>
      <c r="Q24" s="46"/>
      <c r="R24" s="46"/>
      <c r="S24" s="46"/>
      <c r="T24" s="46"/>
      <c r="U24" s="46"/>
      <c r="V24" s="46"/>
      <c r="W24" s="46"/>
      <c r="X24" s="46"/>
      <c r="Y24" s="46"/>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1:51" ht="15" customHeight="1" x14ac:dyDescent="0.25">
      <c r="A25" s="115" t="s">
        <v>127</v>
      </c>
      <c r="B25" s="123"/>
      <c r="C25" s="123"/>
      <c r="D25" s="123"/>
      <c r="E25" s="123"/>
      <c r="F25" s="123"/>
      <c r="G25" s="46"/>
      <c r="H25" s="46"/>
      <c r="I25" s="46"/>
      <c r="J25" s="46"/>
      <c r="K25" s="46"/>
      <c r="L25" s="46"/>
      <c r="M25" s="46"/>
      <c r="N25" s="46"/>
      <c r="O25" s="46"/>
      <c r="P25" s="46"/>
      <c r="Q25" s="46"/>
      <c r="R25" s="46"/>
      <c r="S25" s="46"/>
      <c r="T25" s="46"/>
      <c r="U25" s="46"/>
      <c r="V25" s="46"/>
      <c r="W25" s="46"/>
      <c r="X25" s="46"/>
      <c r="Y25" s="46"/>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1:51" ht="15" customHeight="1" x14ac:dyDescent="0.25">
      <c r="A26" s="121" t="s">
        <v>128</v>
      </c>
      <c r="B26" s="58">
        <v>2.4700000000000002</v>
      </c>
      <c r="C26" s="58">
        <v>2.88</v>
      </c>
      <c r="D26" s="52">
        <v>4.0599999999999996</v>
      </c>
      <c r="E26" s="52">
        <v>3.09</v>
      </c>
      <c r="F26" s="52"/>
      <c r="G26" s="46"/>
      <c r="H26" s="46"/>
      <c r="I26" s="46"/>
      <c r="J26" s="46"/>
      <c r="K26" s="46"/>
      <c r="L26" s="46"/>
      <c r="M26" s="46"/>
      <c r="N26" s="46"/>
      <c r="O26" s="46"/>
      <c r="P26" s="46"/>
      <c r="Q26" s="46"/>
      <c r="R26" s="46"/>
      <c r="S26" s="46"/>
      <c r="T26" s="46"/>
      <c r="U26" s="46"/>
      <c r="V26" s="46"/>
      <c r="W26" s="46"/>
      <c r="X26" s="46"/>
      <c r="Y26" s="46"/>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row>
    <row r="27" spans="1:51" s="53" customFormat="1" ht="15" customHeight="1" x14ac:dyDescent="0.25">
      <c r="A27" s="121" t="s">
        <v>129</v>
      </c>
      <c r="B27" s="58">
        <v>2.27</v>
      </c>
      <c r="C27" s="58">
        <v>2.48</v>
      </c>
      <c r="D27" s="52">
        <v>3.72</v>
      </c>
      <c r="E27" s="52">
        <v>2.77</v>
      </c>
      <c r="F27" s="125"/>
      <c r="G27" s="52"/>
      <c r="H27" s="52"/>
      <c r="I27" s="52"/>
      <c r="J27" s="52"/>
      <c r="K27" s="52"/>
      <c r="L27" s="52"/>
      <c r="M27" s="52"/>
      <c r="N27" s="52"/>
      <c r="O27" s="52"/>
      <c r="P27" s="52"/>
      <c r="Q27" s="52"/>
      <c r="R27" s="52"/>
      <c r="S27" s="52"/>
      <c r="T27" s="52"/>
      <c r="U27" s="52"/>
      <c r="V27" s="52"/>
      <c r="W27" s="52"/>
      <c r="X27" s="52"/>
      <c r="Y27" s="52"/>
    </row>
    <row r="28" spans="1:51" s="53" customFormat="1" ht="15" customHeight="1" x14ac:dyDescent="0.25">
      <c r="A28" s="121" t="s">
        <v>130</v>
      </c>
      <c r="B28" s="58">
        <v>1957</v>
      </c>
      <c r="C28" s="58">
        <v>2632</v>
      </c>
      <c r="D28" s="52">
        <v>4717</v>
      </c>
      <c r="E28" s="52">
        <v>4065</v>
      </c>
      <c r="F28" s="125"/>
      <c r="G28" s="58"/>
      <c r="H28" s="58"/>
      <c r="I28" s="58"/>
      <c r="J28" s="58"/>
      <c r="K28" s="58"/>
      <c r="L28" s="58"/>
      <c r="M28" s="58"/>
      <c r="N28" s="58"/>
      <c r="O28" s="58"/>
      <c r="P28" s="58"/>
      <c r="Q28" s="58"/>
      <c r="R28" s="58"/>
      <c r="S28" s="58"/>
      <c r="T28" s="58"/>
      <c r="U28" s="58"/>
      <c r="V28" s="58"/>
      <c r="W28" s="58"/>
      <c r="X28" s="58"/>
      <c r="Y28" s="58"/>
    </row>
    <row r="29" spans="1:51" s="53" customFormat="1" ht="15" customHeight="1" x14ac:dyDescent="0.25">
      <c r="A29" s="121" t="s">
        <v>131</v>
      </c>
      <c r="B29" s="58">
        <v>2.4500000000000002</v>
      </c>
      <c r="C29" s="58">
        <v>2.58</v>
      </c>
      <c r="D29" s="52">
        <v>3.66</v>
      </c>
      <c r="E29" s="52">
        <v>2.41</v>
      </c>
      <c r="F29" s="125"/>
      <c r="G29" s="58"/>
      <c r="H29" s="58"/>
      <c r="I29" s="58"/>
      <c r="J29" s="58"/>
      <c r="K29" s="58"/>
      <c r="L29" s="58"/>
      <c r="M29" s="58"/>
      <c r="N29" s="58"/>
      <c r="O29" s="58"/>
      <c r="P29" s="58"/>
      <c r="Q29" s="58"/>
      <c r="R29" s="58"/>
      <c r="S29" s="58"/>
      <c r="T29" s="58"/>
      <c r="U29" s="58"/>
      <c r="V29" s="58"/>
      <c r="W29" s="58"/>
      <c r="X29" s="58"/>
      <c r="Y29" s="58"/>
    </row>
    <row r="30" spans="1:51" s="53" customFormat="1" ht="15" customHeight="1" x14ac:dyDescent="0.25">
      <c r="A30" s="121" t="s">
        <v>132</v>
      </c>
      <c r="B30" s="58"/>
      <c r="C30" s="58"/>
      <c r="D30" s="52"/>
      <c r="E30" s="52">
        <v>595.95000000000005</v>
      </c>
      <c r="F30" s="125"/>
      <c r="G30" s="58"/>
      <c r="H30" s="58"/>
      <c r="I30" s="58"/>
      <c r="J30" s="58"/>
      <c r="K30" s="58"/>
      <c r="L30" s="58"/>
      <c r="M30" s="58"/>
      <c r="N30" s="58"/>
      <c r="O30" s="58"/>
      <c r="P30" s="58"/>
      <c r="Q30" s="58"/>
      <c r="R30" s="58"/>
      <c r="S30" s="58"/>
      <c r="T30" s="58"/>
      <c r="U30" s="58"/>
      <c r="V30" s="58"/>
      <c r="W30" s="58"/>
      <c r="X30" s="58"/>
      <c r="Y30" s="58"/>
    </row>
    <row r="31" spans="1:51" s="53" customFormat="1" ht="15" customHeight="1" x14ac:dyDescent="0.25">
      <c r="A31" s="126" t="s">
        <v>148</v>
      </c>
      <c r="B31" s="58"/>
      <c r="C31" s="58"/>
      <c r="D31" s="52"/>
      <c r="E31" s="52">
        <v>24.8</v>
      </c>
      <c r="F31" s="125"/>
      <c r="G31" s="58"/>
      <c r="H31" s="58"/>
      <c r="I31" s="58"/>
      <c r="J31" s="58"/>
      <c r="K31" s="58"/>
      <c r="L31" s="58"/>
      <c r="M31" s="58"/>
      <c r="N31" s="58"/>
      <c r="O31" s="58"/>
      <c r="P31" s="58"/>
      <c r="Q31" s="58"/>
      <c r="R31" s="58"/>
      <c r="S31" s="58"/>
      <c r="T31" s="58"/>
      <c r="U31" s="58"/>
      <c r="V31" s="58"/>
      <c r="W31" s="58"/>
      <c r="X31" s="58"/>
      <c r="Y31" s="58"/>
    </row>
    <row r="32" spans="1:51" s="53" customFormat="1" ht="15" customHeight="1" x14ac:dyDescent="0.25">
      <c r="A32" s="116" t="s">
        <v>133</v>
      </c>
      <c r="B32" s="58">
        <v>9.93</v>
      </c>
      <c r="C32" s="58">
        <v>12.62</v>
      </c>
      <c r="D32" s="58">
        <v>17.190000000000001</v>
      </c>
      <c r="E32" s="52">
        <v>12.8</v>
      </c>
      <c r="F32" s="60"/>
      <c r="G32" s="58"/>
      <c r="H32" s="58"/>
      <c r="I32" s="58"/>
      <c r="J32" s="58"/>
      <c r="K32" s="58"/>
      <c r="L32" s="58"/>
      <c r="M32" s="58"/>
      <c r="N32" s="58"/>
      <c r="O32" s="58"/>
      <c r="P32" s="58"/>
      <c r="Q32" s="58"/>
      <c r="R32" s="58"/>
      <c r="S32" s="58"/>
      <c r="T32" s="58"/>
      <c r="U32" s="58"/>
      <c r="V32" s="58"/>
      <c r="W32" s="58"/>
      <c r="X32" s="58"/>
      <c r="Y32" s="58"/>
    </row>
    <row r="33" spans="1:51" ht="15" customHeight="1" x14ac:dyDescent="0.25">
      <c r="A33" s="116" t="s">
        <v>134</v>
      </c>
      <c r="B33" s="127"/>
      <c r="C33" s="128">
        <f>(C32-B32)/C32</f>
        <v>0.21315372424722659</v>
      </c>
      <c r="D33" s="128">
        <f t="shared" ref="D33:E33" si="1">(D32-C32)/D32</f>
        <v>0.26585223967422933</v>
      </c>
      <c r="E33" s="128">
        <f t="shared" si="1"/>
        <v>-0.34296875000000004</v>
      </c>
      <c r="F33" s="123"/>
      <c r="G33" s="46"/>
      <c r="H33" s="46"/>
      <c r="I33" s="46"/>
      <c r="J33" s="46"/>
      <c r="K33" s="46"/>
      <c r="L33" s="46"/>
      <c r="M33" s="46"/>
      <c r="N33" s="46"/>
      <c r="O33" s="46"/>
      <c r="P33" s="46"/>
      <c r="Q33" s="46"/>
      <c r="R33" s="46"/>
      <c r="S33" s="46"/>
      <c r="T33" s="46"/>
      <c r="U33" s="46"/>
      <c r="V33" s="46"/>
      <c r="W33" s="46"/>
      <c r="X33" s="46"/>
      <c r="Y33" s="46"/>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row>
    <row r="34" spans="1:51" ht="15" customHeight="1" x14ac:dyDescent="0.25">
      <c r="A34" s="116" t="s">
        <v>86</v>
      </c>
      <c r="B34" s="127"/>
      <c r="C34" s="128">
        <f>(C10-B10)/B10</f>
        <v>0.12702322308233635</v>
      </c>
      <c r="D34" s="128">
        <f>(D10-C10)/C10</f>
        <v>0.23509210115516707</v>
      </c>
      <c r="E34" s="128">
        <f>(E10-D10)/D10</f>
        <v>0.25429726996966617</v>
      </c>
      <c r="F34" s="123"/>
      <c r="G34" s="46"/>
      <c r="H34" s="46"/>
      <c r="I34" s="46"/>
      <c r="J34" s="46"/>
      <c r="K34" s="46"/>
      <c r="L34" s="46"/>
      <c r="M34" s="46"/>
      <c r="N34" s="46"/>
      <c r="O34" s="46"/>
      <c r="P34" s="46"/>
      <c r="Q34" s="46"/>
      <c r="R34" s="46"/>
      <c r="S34" s="46"/>
      <c r="T34" s="46"/>
      <c r="U34" s="46"/>
      <c r="V34" s="46"/>
      <c r="W34" s="46"/>
      <c r="X34" s="46"/>
      <c r="Y34" s="46"/>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row>
    <row r="35" spans="1:51" s="53" customFormat="1" ht="15" customHeight="1" x14ac:dyDescent="0.25">
      <c r="A35" s="116" t="s">
        <v>87</v>
      </c>
      <c r="B35" s="66"/>
      <c r="C35" s="58">
        <f>C32/(C34*100)</f>
        <v>0.99351911357340739</v>
      </c>
      <c r="D35" s="58">
        <f>D32/(D34*100)</f>
        <v>0.73120278884462142</v>
      </c>
      <c r="E35" s="58">
        <f>E32/(E34*100)</f>
        <v>0.50334791252485123</v>
      </c>
      <c r="F35" s="60"/>
      <c r="G35" s="60"/>
      <c r="H35" s="60"/>
      <c r="I35" s="60"/>
      <c r="J35" s="60"/>
      <c r="K35" s="60"/>
      <c r="L35" s="60"/>
      <c r="M35" s="60"/>
      <c r="N35" s="60"/>
      <c r="O35" s="60"/>
      <c r="P35" s="60"/>
      <c r="Q35" s="60"/>
      <c r="R35" s="60"/>
      <c r="S35" s="60"/>
      <c r="T35" s="60"/>
      <c r="U35" s="60"/>
      <c r="V35" s="60"/>
      <c r="W35" s="60"/>
      <c r="X35" s="60"/>
      <c r="Y35" s="60"/>
    </row>
    <row r="36" spans="1:51" ht="15" customHeight="1" x14ac:dyDescent="0.3">
      <c r="A36" s="61"/>
    </row>
    <row r="37" spans="1:51" ht="15" customHeight="1" x14ac:dyDescent="0.3">
      <c r="A37" s="33" t="s">
        <v>135</v>
      </c>
      <c r="B37" s="34"/>
      <c r="C37" s="34"/>
      <c r="D37" s="34"/>
      <c r="E37" s="34"/>
      <c r="F37" s="34"/>
      <c r="G37" s="34"/>
      <c r="H37" s="34"/>
      <c r="I37" s="34"/>
      <c r="J37" s="34"/>
      <c r="K37" s="34"/>
      <c r="L37" s="34"/>
      <c r="M37" s="34"/>
      <c r="N37" s="34"/>
      <c r="O37" s="34"/>
      <c r="P37" s="34"/>
      <c r="Q37" s="34"/>
      <c r="R37" s="34"/>
      <c r="S37" s="34"/>
      <c r="T37" s="34"/>
      <c r="U37" s="34"/>
      <c r="V37" s="34"/>
      <c r="W37" s="34"/>
      <c r="X37" s="34"/>
      <c r="Y37" s="34"/>
    </row>
    <row r="38" spans="1:51" ht="15" customHeight="1" x14ac:dyDescent="0.3">
      <c r="A38" s="36"/>
      <c r="B38" s="38" t="s">
        <v>136</v>
      </c>
      <c r="C38" s="37" t="s">
        <v>137</v>
      </c>
      <c r="D38" s="38" t="s">
        <v>138</v>
      </c>
      <c r="E38" s="38" t="s">
        <v>99</v>
      </c>
      <c r="F38" s="38" t="s">
        <v>139</v>
      </c>
      <c r="G38" s="37" t="s">
        <v>140</v>
      </c>
      <c r="H38" s="38" t="s">
        <v>141</v>
      </c>
      <c r="I38" s="38" t="s">
        <v>142</v>
      </c>
      <c r="J38" s="38"/>
      <c r="K38" s="38"/>
      <c r="L38" s="38"/>
      <c r="M38" s="38"/>
      <c r="N38" s="36"/>
      <c r="O38" s="36"/>
      <c r="P38" s="36"/>
      <c r="Q38" s="36"/>
      <c r="R38" s="36"/>
      <c r="S38" s="36"/>
      <c r="T38" s="36"/>
      <c r="U38" s="36"/>
      <c r="V38" s="36"/>
      <c r="W38" s="36"/>
      <c r="X38" s="36"/>
      <c r="Y38" s="36"/>
    </row>
    <row r="39" spans="1:51" ht="15" customHeight="1" x14ac:dyDescent="0.25">
      <c r="A39" s="39" t="s">
        <v>116</v>
      </c>
      <c r="B39" s="40"/>
      <c r="C39" s="40"/>
      <c r="D39" s="40"/>
      <c r="E39" s="40"/>
      <c r="F39" s="40"/>
      <c r="G39" s="41"/>
      <c r="H39" s="42"/>
      <c r="I39" s="42"/>
      <c r="J39" s="42"/>
      <c r="K39" s="42"/>
      <c r="L39" s="42"/>
      <c r="M39" s="42"/>
      <c r="N39" s="42"/>
      <c r="O39" s="42"/>
      <c r="P39" s="42"/>
      <c r="Q39" s="42"/>
      <c r="R39" s="42"/>
      <c r="S39" s="42"/>
      <c r="T39" s="42"/>
      <c r="U39" s="42"/>
      <c r="V39" s="42"/>
      <c r="W39" s="42"/>
      <c r="X39" s="42"/>
      <c r="Y39" s="42"/>
    </row>
    <row r="40" spans="1:51" ht="15" customHeight="1" x14ac:dyDescent="0.25">
      <c r="A40" s="43" t="s">
        <v>80</v>
      </c>
      <c r="B40" s="40">
        <v>300</v>
      </c>
      <c r="C40" s="40">
        <v>304</v>
      </c>
      <c r="D40" s="40">
        <v>326</v>
      </c>
      <c r="E40" s="40">
        <v>339</v>
      </c>
      <c r="F40" s="40">
        <v>346</v>
      </c>
      <c r="G40" s="40">
        <v>359</v>
      </c>
      <c r="H40" s="46">
        <v>372</v>
      </c>
      <c r="I40" s="46">
        <v>389</v>
      </c>
      <c r="J40" s="46"/>
      <c r="K40" s="46"/>
      <c r="L40" s="46"/>
      <c r="M40" s="46"/>
      <c r="N40" s="46"/>
      <c r="O40" s="46"/>
      <c r="P40" s="46"/>
      <c r="Q40" s="46"/>
      <c r="R40" s="46"/>
      <c r="S40" s="46"/>
      <c r="T40" s="46"/>
      <c r="U40" s="46"/>
      <c r="V40" s="46"/>
      <c r="W40" s="46"/>
      <c r="X40" s="46"/>
      <c r="Y40" s="46"/>
    </row>
    <row r="41" spans="1:51" s="55" customFormat="1" ht="15" customHeight="1" x14ac:dyDescent="0.25">
      <c r="A41" s="62" t="s">
        <v>81</v>
      </c>
      <c r="B41" s="129"/>
      <c r="C41" s="129"/>
      <c r="D41" s="129"/>
      <c r="E41" s="129"/>
      <c r="F41" s="63">
        <f>(F40-B40)/B40</f>
        <v>0.15333333333333332</v>
      </c>
      <c r="G41" s="63">
        <f t="shared" ref="G41:I41" si="2">(G40-C40)/C40</f>
        <v>0.18092105263157895</v>
      </c>
      <c r="H41" s="63">
        <f t="shared" si="2"/>
        <v>0.1411042944785276</v>
      </c>
      <c r="I41" s="63">
        <f t="shared" si="2"/>
        <v>0.14749262536873156</v>
      </c>
      <c r="J41" s="63"/>
      <c r="K41" s="63"/>
      <c r="L41" s="63"/>
      <c r="M41" s="63"/>
      <c r="N41" s="63"/>
      <c r="O41" s="63"/>
      <c r="P41" s="63"/>
      <c r="Q41" s="63"/>
      <c r="R41" s="63"/>
      <c r="S41" s="63"/>
      <c r="T41" s="63"/>
      <c r="U41" s="63"/>
      <c r="V41" s="63"/>
      <c r="W41" s="63"/>
      <c r="X41" s="63"/>
      <c r="Y41" s="63"/>
    </row>
    <row r="42" spans="1:51" ht="15" customHeight="1" x14ac:dyDescent="0.25">
      <c r="A42" s="43" t="s">
        <v>82</v>
      </c>
      <c r="B42" s="44">
        <v>102</v>
      </c>
      <c r="C42" s="44">
        <v>109</v>
      </c>
      <c r="D42" s="44">
        <v>110</v>
      </c>
      <c r="E42" s="44">
        <v>111</v>
      </c>
      <c r="F42" s="44">
        <v>116</v>
      </c>
      <c r="G42" s="44">
        <v>122</v>
      </c>
      <c r="H42" s="46">
        <v>123</v>
      </c>
      <c r="I42" s="46">
        <v>135</v>
      </c>
      <c r="J42" s="46"/>
      <c r="K42" s="46"/>
      <c r="L42" s="46"/>
      <c r="M42" s="46"/>
      <c r="N42" s="46"/>
      <c r="O42" s="46"/>
      <c r="P42" s="46"/>
      <c r="Q42" s="46"/>
      <c r="R42" s="46"/>
      <c r="S42" s="46"/>
      <c r="T42" s="46"/>
      <c r="U42" s="46"/>
      <c r="V42" s="46"/>
      <c r="W42" s="46"/>
      <c r="X42" s="46"/>
      <c r="Y42" s="46"/>
    </row>
    <row r="43" spans="1:51" s="55" customFormat="1" ht="15" customHeight="1" x14ac:dyDescent="0.25">
      <c r="A43" s="62" t="s">
        <v>83</v>
      </c>
      <c r="B43" s="129"/>
      <c r="C43" s="129"/>
      <c r="D43" s="129"/>
      <c r="E43" s="129"/>
      <c r="F43" s="63">
        <f>(F42-B42)/B42</f>
        <v>0.13725490196078433</v>
      </c>
      <c r="G43" s="63">
        <f t="shared" ref="G43" si="3">(G42-C42)/C42</f>
        <v>0.11926605504587157</v>
      </c>
      <c r="H43" s="63">
        <f t="shared" ref="H43" si="4">(H42-D42)/D42</f>
        <v>0.11818181818181818</v>
      </c>
      <c r="I43" s="63">
        <f t="shared" ref="I43" si="5">(I42-E42)/E42</f>
        <v>0.21621621621621623</v>
      </c>
      <c r="J43" s="63"/>
      <c r="K43" s="63"/>
      <c r="L43" s="63"/>
      <c r="M43" s="63"/>
      <c r="N43" s="63"/>
      <c r="O43" s="63"/>
      <c r="P43" s="63"/>
      <c r="Q43" s="63"/>
      <c r="R43" s="63"/>
      <c r="S43" s="63"/>
      <c r="T43" s="63"/>
      <c r="U43" s="63"/>
      <c r="V43" s="63"/>
      <c r="W43" s="63"/>
      <c r="X43" s="63"/>
      <c r="Y43" s="63"/>
    </row>
    <row r="44" spans="1:51" ht="15" customHeight="1" x14ac:dyDescent="0.25">
      <c r="A44" s="43" t="s">
        <v>84</v>
      </c>
      <c r="B44" s="44">
        <v>71.53</v>
      </c>
      <c r="C44" s="44">
        <v>76.819999999999993</v>
      </c>
      <c r="D44" s="44">
        <v>79.28</v>
      </c>
      <c r="E44" s="44">
        <v>80.83</v>
      </c>
      <c r="F44" s="44">
        <v>86.31</v>
      </c>
      <c r="G44" s="44">
        <v>92.04</v>
      </c>
      <c r="H44" s="46">
        <v>97.38</v>
      </c>
      <c r="I44" s="46">
        <v>101</v>
      </c>
      <c r="J44" s="46"/>
      <c r="K44" s="46"/>
      <c r="L44" s="46"/>
      <c r="M44" s="46"/>
      <c r="N44" s="46"/>
      <c r="O44" s="46"/>
      <c r="P44" s="46"/>
      <c r="Q44" s="46"/>
      <c r="R44" s="46"/>
      <c r="S44" s="46"/>
      <c r="T44" s="46"/>
      <c r="U44" s="46"/>
      <c r="V44" s="46"/>
      <c r="W44" s="46"/>
      <c r="X44" s="46"/>
      <c r="Y44" s="46"/>
    </row>
    <row r="45" spans="1:51" s="55" customFormat="1" ht="15" customHeight="1" x14ac:dyDescent="0.25">
      <c r="A45" s="62" t="s">
        <v>85</v>
      </c>
      <c r="B45" s="129"/>
      <c r="C45" s="129"/>
      <c r="D45" s="129"/>
      <c r="E45" s="129"/>
      <c r="F45" s="63">
        <f>(F44-B44)/B44</f>
        <v>0.20662659024185659</v>
      </c>
      <c r="G45" s="63">
        <f t="shared" ref="G45" si="6">(G44-C44)/C44</f>
        <v>0.19812548815412673</v>
      </c>
      <c r="H45" s="63">
        <f t="shared" ref="H45" si="7">(H44-D44)/D44</f>
        <v>0.22830474268415735</v>
      </c>
      <c r="I45" s="63">
        <f t="shared" ref="I45" si="8">(I44-E44)/E44</f>
        <v>0.24953606334281828</v>
      </c>
      <c r="J45" s="63"/>
      <c r="K45" s="63"/>
      <c r="L45" s="63"/>
      <c r="M45" s="63"/>
      <c r="N45" s="63"/>
      <c r="O45" s="63"/>
      <c r="P45" s="63"/>
      <c r="Q45" s="63"/>
      <c r="R45" s="63"/>
      <c r="S45" s="63"/>
      <c r="T45" s="63"/>
      <c r="U45" s="63"/>
      <c r="V45" s="63"/>
      <c r="W45" s="63"/>
      <c r="X45" s="63"/>
      <c r="Y45" s="63"/>
    </row>
    <row r="46" spans="1:51" ht="15" customHeight="1" x14ac:dyDescent="0.25">
      <c r="A46" s="56" t="s">
        <v>8</v>
      </c>
      <c r="B46" s="52">
        <v>9.3699999999999992</v>
      </c>
      <c r="C46" s="40">
        <v>9.91</v>
      </c>
      <c r="D46" s="40">
        <v>9.89</v>
      </c>
      <c r="E46" s="40">
        <v>10.42</v>
      </c>
      <c r="F46" s="40">
        <v>11.21</v>
      </c>
      <c r="G46" s="40">
        <v>12.09</v>
      </c>
      <c r="H46" s="40">
        <v>12.84</v>
      </c>
      <c r="I46" s="40">
        <v>13.45</v>
      </c>
      <c r="J46" s="40"/>
      <c r="K46" s="40"/>
      <c r="L46" s="40"/>
      <c r="M46" s="40"/>
      <c r="N46" s="40"/>
      <c r="O46" s="40"/>
      <c r="P46" s="40"/>
      <c r="Q46" s="40"/>
      <c r="R46" s="40"/>
      <c r="S46" s="40"/>
      <c r="T46" s="40"/>
      <c r="U46" s="40"/>
      <c r="V46" s="40"/>
      <c r="W46" s="40"/>
      <c r="X46" s="40"/>
      <c r="Y46" s="40"/>
    </row>
    <row r="47" spans="1:51" s="55" customFormat="1" ht="15" customHeight="1" x14ac:dyDescent="0.25">
      <c r="A47" s="56" t="s">
        <v>119</v>
      </c>
      <c r="B47" s="63">
        <v>0.30819999999999997</v>
      </c>
      <c r="C47" s="63">
        <v>0.33329999999999999</v>
      </c>
      <c r="D47" s="63">
        <v>0.3095</v>
      </c>
      <c r="E47" s="63">
        <v>0.29459999999999997</v>
      </c>
      <c r="F47" s="63">
        <v>0.29499999999999998</v>
      </c>
      <c r="G47" s="63">
        <v>0.29409999999999997</v>
      </c>
      <c r="H47" s="63">
        <v>0.29399999999999998</v>
      </c>
      <c r="I47" s="63">
        <v>0.31840000000000002</v>
      </c>
      <c r="J47" s="63"/>
      <c r="K47" s="63"/>
      <c r="L47" s="63"/>
      <c r="M47" s="63"/>
      <c r="N47" s="63"/>
      <c r="O47" s="63"/>
      <c r="P47" s="63"/>
      <c r="Q47" s="63"/>
      <c r="R47" s="63"/>
      <c r="S47" s="63"/>
      <c r="T47" s="63"/>
      <c r="U47" s="63"/>
      <c r="V47" s="63"/>
      <c r="W47" s="63"/>
      <c r="X47" s="63"/>
      <c r="Y47" s="63"/>
    </row>
    <row r="48" spans="1:51" s="55" customFormat="1" ht="15" customHeight="1" x14ac:dyDescent="0.25">
      <c r="A48" s="56" t="s">
        <v>91</v>
      </c>
      <c r="B48" s="63">
        <v>0.23810000000000001</v>
      </c>
      <c r="C48" s="63">
        <v>0.25309999999999999</v>
      </c>
      <c r="D48" s="63">
        <v>0.24299999999999999</v>
      </c>
      <c r="E48" s="63">
        <v>0.23830000000000001</v>
      </c>
      <c r="F48" s="63">
        <v>0.2492</v>
      </c>
      <c r="G48" s="63">
        <v>0.25629999999999997</v>
      </c>
      <c r="H48" s="63">
        <v>0.26169999999999999</v>
      </c>
      <c r="I48" s="63">
        <v>0.25990000000000002</v>
      </c>
      <c r="J48" s="63"/>
      <c r="K48" s="63"/>
      <c r="L48" s="63"/>
      <c r="M48" s="63"/>
      <c r="N48" s="63"/>
      <c r="O48" s="63"/>
      <c r="P48" s="63"/>
      <c r="Q48" s="63"/>
      <c r="R48" s="63"/>
      <c r="S48" s="63"/>
      <c r="T48" s="63"/>
      <c r="U48" s="63"/>
      <c r="V48" s="63"/>
      <c r="W48" s="63"/>
      <c r="X48" s="63"/>
      <c r="Y48" s="63"/>
    </row>
    <row r="49" spans="1:25" s="65" customFormat="1" ht="15" customHeight="1" x14ac:dyDescent="0.25">
      <c r="A49" s="64" t="s">
        <v>127</v>
      </c>
      <c r="B49" s="63"/>
      <c r="C49" s="63"/>
      <c r="D49" s="63"/>
      <c r="E49" s="63"/>
      <c r="F49" s="63"/>
      <c r="G49" s="63"/>
      <c r="H49" s="63"/>
      <c r="I49" s="63"/>
      <c r="J49" s="63"/>
      <c r="K49" s="63"/>
      <c r="L49" s="63"/>
      <c r="M49" s="63"/>
      <c r="N49" s="63"/>
      <c r="O49" s="63"/>
      <c r="P49" s="63"/>
      <c r="Q49" s="63"/>
      <c r="R49" s="63"/>
      <c r="S49" s="63"/>
      <c r="T49" s="63"/>
      <c r="U49" s="63"/>
      <c r="V49" s="63"/>
      <c r="W49" s="63"/>
      <c r="X49" s="63"/>
      <c r="Y49" s="63"/>
    </row>
    <row r="50" spans="1:25" s="65" customFormat="1" ht="15" customHeight="1" x14ac:dyDescent="0.25">
      <c r="A50" s="62" t="s">
        <v>143</v>
      </c>
      <c r="B50" s="66"/>
      <c r="C50" s="66"/>
      <c r="D50" s="66"/>
      <c r="E50" s="66">
        <f>E52/SUM(B40:E40)</f>
        <v>0</v>
      </c>
      <c r="F50" s="58">
        <f>F52/SUM(C40:F40)</f>
        <v>4.1057338403041825</v>
      </c>
      <c r="G50" s="58">
        <f>G52/SUM(D40:G40)</f>
        <v>4.3161897810218974</v>
      </c>
      <c r="H50" s="58">
        <f>H52/SUM(E40:H40)</f>
        <v>4.18</v>
      </c>
      <c r="I50" s="58">
        <f>I52/SUM(F40:I40)</f>
        <v>3.8590995907230559</v>
      </c>
      <c r="J50" s="52"/>
      <c r="K50" s="52"/>
      <c r="L50" s="52"/>
      <c r="M50" s="52"/>
      <c r="N50" s="52"/>
      <c r="O50" s="52"/>
      <c r="P50" s="52"/>
      <c r="Q50" s="52"/>
      <c r="R50" s="52"/>
      <c r="S50" s="52"/>
      <c r="T50" s="52"/>
      <c r="U50" s="52"/>
      <c r="V50" s="52"/>
      <c r="W50" s="52"/>
      <c r="X50" s="52"/>
      <c r="Y50" s="52"/>
    </row>
    <row r="51" spans="1:25" s="34" customFormat="1" ht="15" customHeight="1" x14ac:dyDescent="0.25">
      <c r="A51" s="62" t="s">
        <v>144</v>
      </c>
      <c r="B51" s="67"/>
      <c r="C51" s="67"/>
      <c r="D51" s="67"/>
      <c r="E51" s="67"/>
      <c r="F51" s="59">
        <f>F53/SUM(C40:F40)</f>
        <v>3.5870722433460074</v>
      </c>
      <c r="G51" s="59">
        <f>G53/SUM(D40:G40)</f>
        <v>3.4430656934306567</v>
      </c>
      <c r="H51" s="59">
        <f>H53/SUM(E40:H40)</f>
        <v>3.3312146892655368</v>
      </c>
      <c r="I51" s="59">
        <f>I53/SUM(F40:I40)</f>
        <v>3.217598908594816</v>
      </c>
      <c r="J51" s="60"/>
      <c r="K51" s="60"/>
      <c r="L51" s="60"/>
      <c r="M51" s="60"/>
      <c r="N51" s="60"/>
      <c r="O51" s="60"/>
      <c r="P51" s="60"/>
      <c r="Q51" s="60"/>
      <c r="R51" s="60"/>
      <c r="S51" s="60"/>
      <c r="T51" s="60"/>
      <c r="U51" s="60"/>
      <c r="V51" s="60"/>
      <c r="W51" s="60"/>
      <c r="X51" s="60"/>
      <c r="Y51" s="60"/>
    </row>
    <row r="52" spans="1:25" s="34" customFormat="1" ht="15" customHeight="1" x14ac:dyDescent="0.25">
      <c r="A52" s="56" t="s">
        <v>145</v>
      </c>
      <c r="B52" s="67">
        <f t="shared" ref="B52" si="9">(129945676.776822*B54)/10000000</f>
        <v>8840.8541195110847</v>
      </c>
      <c r="C52" s="67"/>
      <c r="D52" s="67"/>
      <c r="E52" s="67"/>
      <c r="F52" s="60">
        <f>7.6*D72</f>
        <v>5399.04</v>
      </c>
      <c r="G52" s="60">
        <f t="shared" ref="G52:I52" si="10">7.6*E72</f>
        <v>5913.1799999999994</v>
      </c>
      <c r="H52" s="60">
        <f t="shared" si="10"/>
        <v>5918.8799999999992</v>
      </c>
      <c r="I52" s="60">
        <f t="shared" si="10"/>
        <v>5657.44</v>
      </c>
      <c r="J52" s="60"/>
      <c r="K52" s="60"/>
      <c r="L52" s="60" t="s">
        <v>219</v>
      </c>
      <c r="M52" s="60"/>
      <c r="N52" s="60"/>
      <c r="O52" s="60"/>
      <c r="P52" s="60"/>
      <c r="Q52" s="60"/>
      <c r="R52" s="60"/>
      <c r="S52" s="60"/>
      <c r="T52" s="60"/>
      <c r="U52" s="60"/>
      <c r="V52" s="60"/>
      <c r="W52" s="60"/>
      <c r="X52" s="60"/>
      <c r="Y52" s="60"/>
    </row>
    <row r="53" spans="1:25" s="34" customFormat="1" ht="15" customHeight="1" x14ac:dyDescent="0.25">
      <c r="A53" s="56" t="s">
        <v>146</v>
      </c>
      <c r="B53" s="59">
        <f>C28</f>
        <v>2632</v>
      </c>
      <c r="C53" s="59">
        <f>C28</f>
        <v>2632</v>
      </c>
      <c r="D53" s="59">
        <f>C28</f>
        <v>2632</v>
      </c>
      <c r="E53" s="59">
        <f>C28</f>
        <v>2632</v>
      </c>
      <c r="F53" s="59">
        <f>D28</f>
        <v>4717</v>
      </c>
      <c r="G53" s="59">
        <f>D28</f>
        <v>4717</v>
      </c>
      <c r="H53" s="59">
        <f>D28</f>
        <v>4717</v>
      </c>
      <c r="I53" s="60">
        <f>D28</f>
        <v>4717</v>
      </c>
      <c r="J53" s="60"/>
      <c r="K53" s="60"/>
      <c r="L53" s="60"/>
      <c r="M53" s="60"/>
      <c r="N53" s="60"/>
      <c r="O53" s="60"/>
      <c r="P53" s="60"/>
      <c r="Q53" s="60"/>
      <c r="R53" s="60"/>
      <c r="S53" s="60"/>
      <c r="T53" s="60"/>
      <c r="U53" s="60"/>
      <c r="V53" s="60"/>
      <c r="W53" s="60"/>
      <c r="X53" s="60"/>
      <c r="Y53" s="60"/>
    </row>
    <row r="54" spans="1:25" s="34" customFormat="1" ht="15" customHeight="1" x14ac:dyDescent="0.25">
      <c r="A54" s="56" t="s">
        <v>147</v>
      </c>
      <c r="B54" s="59">
        <v>680.35</v>
      </c>
      <c r="C54" s="59">
        <v>877.1</v>
      </c>
      <c r="D54" s="59">
        <v>858.2</v>
      </c>
      <c r="E54" s="59">
        <v>711.7</v>
      </c>
      <c r="F54" s="59">
        <v>710.4</v>
      </c>
      <c r="G54" s="59">
        <v>744.4</v>
      </c>
      <c r="H54" s="59">
        <v>713.3</v>
      </c>
      <c r="I54" s="60">
        <v>595.95000000000005</v>
      </c>
      <c r="J54" s="60"/>
      <c r="K54" s="60"/>
      <c r="L54" s="60"/>
      <c r="M54" s="60"/>
      <c r="N54" s="60"/>
      <c r="O54" s="60"/>
      <c r="P54" s="60"/>
      <c r="Q54" s="60"/>
      <c r="R54" s="60"/>
      <c r="S54" s="60"/>
      <c r="T54" s="60"/>
      <c r="U54" s="60"/>
      <c r="V54" s="60"/>
      <c r="W54" s="60"/>
      <c r="X54" s="60"/>
      <c r="Y54" s="60"/>
    </row>
    <row r="55" spans="1:25" s="34" customFormat="1" ht="15" customHeight="1" x14ac:dyDescent="0.25">
      <c r="A55" s="68" t="s">
        <v>148</v>
      </c>
      <c r="B55" s="59"/>
      <c r="C55" s="59"/>
      <c r="D55" s="59"/>
      <c r="E55" s="59"/>
      <c r="F55" s="59"/>
      <c r="G55" s="59"/>
      <c r="H55" s="59"/>
      <c r="I55" s="60">
        <v>31.05</v>
      </c>
      <c r="J55" s="60"/>
      <c r="K55" s="60"/>
      <c r="L55" s="60"/>
      <c r="M55" s="60"/>
      <c r="N55" s="60"/>
      <c r="O55" s="60"/>
      <c r="P55" s="60"/>
      <c r="Q55" s="60"/>
      <c r="R55" s="60"/>
      <c r="S55" s="60"/>
      <c r="T55" s="60"/>
      <c r="U55" s="60"/>
      <c r="V55" s="60"/>
      <c r="W55" s="60"/>
      <c r="X55" s="60"/>
      <c r="Y55" s="60"/>
    </row>
    <row r="56" spans="1:25" s="34" customFormat="1" ht="15" customHeight="1" x14ac:dyDescent="0.25">
      <c r="A56" s="69" t="s">
        <v>149</v>
      </c>
      <c r="B56" s="67"/>
      <c r="C56" s="67"/>
      <c r="D56" s="67"/>
      <c r="E56" s="59">
        <f>E54/(SUM(B46:E46))</f>
        <v>17.97676180853751</v>
      </c>
      <c r="F56" s="59">
        <f>F54/(SUM(C46:F46))</f>
        <v>17.146994931209267</v>
      </c>
      <c r="G56" s="59">
        <f>G54/(SUM(D46:G46))</f>
        <v>17.069479477184132</v>
      </c>
      <c r="H56" s="59">
        <f>H54/(SUM(E46:H46))</f>
        <v>15.320017182130583</v>
      </c>
      <c r="I56" s="59">
        <f>I54/(SUM(F46:I46))</f>
        <v>12.017543859649123</v>
      </c>
      <c r="J56" s="60"/>
      <c r="K56" s="60"/>
      <c r="L56" s="60"/>
      <c r="M56" s="60"/>
      <c r="N56" s="60"/>
      <c r="O56" s="60"/>
      <c r="P56" s="60"/>
      <c r="Q56" s="60"/>
      <c r="R56" s="60"/>
      <c r="S56" s="60"/>
      <c r="T56" s="60"/>
      <c r="U56" s="60"/>
      <c r="V56" s="60"/>
      <c r="W56" s="60"/>
      <c r="X56" s="60"/>
      <c r="Y56" s="60"/>
    </row>
    <row r="57" spans="1:25" s="34" customFormat="1" ht="15" customHeight="1" x14ac:dyDescent="0.25">
      <c r="A57" s="69" t="s">
        <v>150</v>
      </c>
      <c r="B57" s="67"/>
      <c r="C57" s="70"/>
      <c r="D57" s="70"/>
      <c r="E57" s="70"/>
      <c r="F57" s="71">
        <f>(SUM(C46:F46)-SUM(B46:E46))/SUM(B46:E46)</f>
        <v>4.6476382924980957E-2</v>
      </c>
      <c r="G57" s="71">
        <f>(SUM(D46:G46)-SUM(C46:F46))/SUM(C46:F46)</f>
        <v>5.2618875211199609E-2</v>
      </c>
      <c r="H57" s="71">
        <f>(SUM(E46:H46)-SUM(D46:G46))/SUM(D46:G46)</f>
        <v>6.7645035542306872E-2</v>
      </c>
      <c r="I57" s="71">
        <f>(SUM(F46:I46)-SUM(E46:H46))/SUM(E46:H46)</f>
        <v>6.5077319587628885E-2</v>
      </c>
      <c r="J57" s="60"/>
      <c r="K57" s="60"/>
      <c r="L57" s="60"/>
      <c r="M57" s="60"/>
      <c r="N57" s="60"/>
      <c r="O57" s="60"/>
      <c r="P57" s="60"/>
      <c r="Q57" s="60"/>
      <c r="R57" s="60"/>
      <c r="S57" s="60"/>
      <c r="T57" s="60"/>
      <c r="U57" s="60"/>
      <c r="V57" s="60"/>
      <c r="W57" s="60"/>
      <c r="X57" s="60"/>
      <c r="Y57" s="60"/>
    </row>
    <row r="58" spans="1:25" s="34" customFormat="1" ht="15" customHeight="1" x14ac:dyDescent="0.25">
      <c r="A58" s="69" t="s">
        <v>151</v>
      </c>
      <c r="B58" s="67"/>
      <c r="C58" s="67"/>
      <c r="D58" s="67"/>
      <c r="E58" s="67"/>
      <c r="F58" s="59">
        <f>F56/(F57*100)</f>
        <v>3.6893996159053062</v>
      </c>
      <c r="G58" s="59">
        <f>G56/(G57*100)</f>
        <v>3.2439841043107274</v>
      </c>
      <c r="H58" s="59">
        <f>H56/(H57*100)</f>
        <v>2.2647659298736071</v>
      </c>
      <c r="I58" s="59">
        <f>I56/(I57*100)</f>
        <v>1.8466562445718251</v>
      </c>
      <c r="J58" s="60"/>
      <c r="K58" s="60"/>
      <c r="L58" s="60"/>
      <c r="M58" s="60"/>
      <c r="N58" s="60"/>
      <c r="O58" s="60"/>
      <c r="P58" s="60"/>
      <c r="Q58" s="60"/>
      <c r="R58" s="60"/>
      <c r="S58" s="60"/>
      <c r="T58" s="60"/>
      <c r="U58" s="60"/>
      <c r="V58" s="60"/>
      <c r="W58" s="60"/>
      <c r="X58" s="60"/>
      <c r="Y58" s="60"/>
    </row>
    <row r="59" spans="1:25" ht="15" customHeight="1" x14ac:dyDescent="0.35">
      <c r="A59" s="115" t="s">
        <v>93</v>
      </c>
      <c r="B59" s="21"/>
      <c r="C59" s="53"/>
    </row>
    <row r="60" spans="1:25" ht="15" customHeight="1" x14ac:dyDescent="0.25">
      <c r="A60" s="116" t="s">
        <v>94</v>
      </c>
      <c r="B60" s="58">
        <v>70.66</v>
      </c>
      <c r="C60" s="117" t="s">
        <v>220</v>
      </c>
    </row>
    <row r="61" spans="1:25" ht="15" customHeight="1" x14ac:dyDescent="0.25">
      <c r="A61" s="116" t="s">
        <v>95</v>
      </c>
      <c r="B61" s="58">
        <v>2.36</v>
      </c>
      <c r="C61" s="117" t="s">
        <v>221</v>
      </c>
    </row>
    <row r="62" spans="1:25" ht="15" customHeight="1" x14ac:dyDescent="0.25">
      <c r="A62" s="116" t="s">
        <v>96</v>
      </c>
      <c r="B62" s="58">
        <v>7.0000000000000007E-2</v>
      </c>
      <c r="C62" s="117" t="s">
        <v>224</v>
      </c>
    </row>
    <row r="63" spans="1:25" ht="15" customHeight="1" x14ac:dyDescent="0.25">
      <c r="A63" s="116" t="s">
        <v>97</v>
      </c>
      <c r="B63" s="58">
        <v>26.34</v>
      </c>
      <c r="C63" s="117" t="s">
        <v>223</v>
      </c>
    </row>
    <row r="64" spans="1:25" ht="15" customHeight="1" x14ac:dyDescent="0.25">
      <c r="A64" s="116" t="s">
        <v>195</v>
      </c>
      <c r="B64" s="58">
        <v>0.56999999999999995</v>
      </c>
      <c r="C64" s="117" t="s">
        <v>222</v>
      </c>
    </row>
    <row r="65" spans="1:25" ht="15" customHeight="1" x14ac:dyDescent="0.25">
      <c r="A65" s="116" t="s">
        <v>98</v>
      </c>
      <c r="B65" s="58">
        <v>0</v>
      </c>
      <c r="C65" s="117"/>
    </row>
    <row r="66" spans="1:25" ht="15" customHeight="1" x14ac:dyDescent="0.3">
      <c r="A66" s="61"/>
    </row>
    <row r="67" spans="1:25" ht="15" customHeight="1" x14ac:dyDescent="0.3">
      <c r="A67" s="61"/>
    </row>
    <row r="68" spans="1:25" ht="15" customHeight="1" x14ac:dyDescent="0.3">
      <c r="A68" s="61"/>
    </row>
    <row r="69" spans="1:25" s="34" customFormat="1" ht="15" customHeight="1" x14ac:dyDescent="0.3">
      <c r="A69" s="72" t="s">
        <v>152</v>
      </c>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s="34" customFormat="1" ht="13" x14ac:dyDescent="0.25">
      <c r="A70" s="74"/>
      <c r="B70" s="75">
        <v>44681</v>
      </c>
      <c r="C70" s="75">
        <v>44712</v>
      </c>
      <c r="D70" s="75">
        <v>44742</v>
      </c>
      <c r="E70" s="75">
        <v>44773</v>
      </c>
      <c r="F70" s="75">
        <v>44804</v>
      </c>
      <c r="G70" s="75">
        <v>44834</v>
      </c>
      <c r="H70" s="75">
        <v>44865</v>
      </c>
      <c r="I70" s="75">
        <v>44895</v>
      </c>
      <c r="J70" s="75">
        <v>44926</v>
      </c>
      <c r="K70" s="75">
        <v>44957</v>
      </c>
      <c r="L70" s="75">
        <v>44985</v>
      </c>
      <c r="M70" s="75">
        <v>45016</v>
      </c>
      <c r="N70" s="75">
        <v>45046</v>
      </c>
      <c r="O70" s="75">
        <v>45077</v>
      </c>
      <c r="P70" s="75">
        <v>45107</v>
      </c>
      <c r="Q70" s="75">
        <v>45138</v>
      </c>
      <c r="R70" s="75">
        <v>45169</v>
      </c>
      <c r="S70" s="75">
        <v>45199</v>
      </c>
      <c r="T70" s="75">
        <v>45230</v>
      </c>
      <c r="U70" s="75">
        <v>45260</v>
      </c>
      <c r="V70" s="75">
        <v>45291</v>
      </c>
      <c r="W70" s="75">
        <v>45322</v>
      </c>
      <c r="X70" s="75">
        <v>45350</v>
      </c>
      <c r="Y70" s="75">
        <v>45382</v>
      </c>
    </row>
    <row r="71" spans="1:25" s="34" customFormat="1" ht="13" x14ac:dyDescent="0.25">
      <c r="A71" s="39" t="s">
        <v>153</v>
      </c>
      <c r="B71" s="41"/>
      <c r="C71" s="41"/>
      <c r="D71" s="41"/>
      <c r="E71" s="41"/>
      <c r="F71" s="41"/>
      <c r="G71" s="41"/>
      <c r="H71" s="42"/>
      <c r="I71" s="42"/>
      <c r="J71" s="42"/>
      <c r="K71" s="42"/>
      <c r="L71" s="42"/>
      <c r="M71" s="42"/>
      <c r="N71" s="42"/>
      <c r="O71" s="42"/>
      <c r="P71" s="42"/>
      <c r="Q71" s="42"/>
      <c r="R71" s="42"/>
      <c r="S71" s="42"/>
      <c r="T71" s="42"/>
      <c r="U71" s="42"/>
      <c r="V71" s="42"/>
      <c r="W71" s="42"/>
      <c r="X71" s="42"/>
      <c r="Y71" s="42"/>
    </row>
    <row r="72" spans="1:25" s="77" customFormat="1" ht="14.5" x14ac:dyDescent="0.35">
      <c r="A72" s="68" t="s">
        <v>154</v>
      </c>
      <c r="B72" s="76"/>
      <c r="C72" s="76"/>
      <c r="D72" s="76">
        <v>710.4</v>
      </c>
      <c r="E72" s="76">
        <v>778.05</v>
      </c>
      <c r="F72" s="76">
        <v>778.8</v>
      </c>
      <c r="G72" s="52">
        <v>744.4</v>
      </c>
      <c r="H72" s="52">
        <v>724.85</v>
      </c>
      <c r="I72" s="52">
        <v>755.45</v>
      </c>
      <c r="J72" s="52">
        <v>713.3</v>
      </c>
      <c r="K72" s="52">
        <v>692.95</v>
      </c>
      <c r="L72" s="52">
        <v>653.25</v>
      </c>
      <c r="M72" s="52">
        <v>595.95000000000005</v>
      </c>
      <c r="N72" s="60">
        <v>678.3</v>
      </c>
      <c r="O72" s="60">
        <v>747.6</v>
      </c>
      <c r="P72" s="60"/>
      <c r="Q72" s="60"/>
      <c r="R72" s="60"/>
      <c r="S72" s="60"/>
      <c r="T72" s="60"/>
      <c r="U72" s="60"/>
      <c r="V72" s="60"/>
      <c r="W72" s="60"/>
      <c r="X72" s="60"/>
      <c r="Y72" s="60"/>
    </row>
    <row r="73" spans="1:25" s="80" customFormat="1" ht="12.5" x14ac:dyDescent="0.25">
      <c r="A73" s="78" t="s">
        <v>155</v>
      </c>
      <c r="B73" s="79"/>
      <c r="C73" s="79"/>
      <c r="D73" s="79"/>
      <c r="E73" s="79">
        <f t="shared" ref="E73:Y73" si="11">(E72-D72)/D72</f>
        <v>9.5228040540540515E-2</v>
      </c>
      <c r="F73" s="79">
        <f t="shared" si="11"/>
        <v>9.6394833236938501E-4</v>
      </c>
      <c r="G73" s="63">
        <f t="shared" si="11"/>
        <v>-4.4170518746789907E-2</v>
      </c>
      <c r="H73" s="63">
        <f t="shared" si="11"/>
        <v>-2.6262761955937606E-2</v>
      </c>
      <c r="I73" s="63">
        <f t="shared" si="11"/>
        <v>4.2215630820169721E-2</v>
      </c>
      <c r="J73" s="63">
        <f t="shared" si="11"/>
        <v>-5.5794559534052671E-2</v>
      </c>
      <c r="K73" s="63">
        <f t="shared" si="11"/>
        <v>-2.8529370531333115E-2</v>
      </c>
      <c r="L73" s="63">
        <f t="shared" si="11"/>
        <v>-5.7291290857926322E-2</v>
      </c>
      <c r="M73" s="63">
        <f t="shared" si="11"/>
        <v>-8.7715269804821971E-2</v>
      </c>
      <c r="N73" s="63">
        <f t="shared" si="11"/>
        <v>0.13818273345079268</v>
      </c>
      <c r="O73" s="63">
        <f t="shared" si="11"/>
        <v>0.10216718266253881</v>
      </c>
      <c r="P73" s="63">
        <f t="shared" si="11"/>
        <v>-1</v>
      </c>
      <c r="Q73" s="63" t="e">
        <f t="shared" si="11"/>
        <v>#DIV/0!</v>
      </c>
      <c r="R73" s="63" t="e">
        <f t="shared" si="11"/>
        <v>#DIV/0!</v>
      </c>
      <c r="S73" s="63" t="e">
        <f t="shared" si="11"/>
        <v>#DIV/0!</v>
      </c>
      <c r="T73" s="63" t="e">
        <f t="shared" si="11"/>
        <v>#DIV/0!</v>
      </c>
      <c r="U73" s="63" t="e">
        <f t="shared" si="11"/>
        <v>#DIV/0!</v>
      </c>
      <c r="V73" s="63" t="e">
        <f t="shared" si="11"/>
        <v>#DIV/0!</v>
      </c>
      <c r="W73" s="63" t="e">
        <f t="shared" si="11"/>
        <v>#DIV/0!</v>
      </c>
      <c r="X73" s="63" t="e">
        <f t="shared" si="11"/>
        <v>#DIV/0!</v>
      </c>
      <c r="Y73" s="63" t="e">
        <f t="shared" si="11"/>
        <v>#DIV/0!</v>
      </c>
    </row>
    <row r="74" spans="1:25" s="77" customFormat="1" ht="12.5" x14ac:dyDescent="0.25">
      <c r="A74" s="68" t="s">
        <v>156</v>
      </c>
      <c r="B74" s="52"/>
      <c r="C74" s="52"/>
      <c r="D74" s="52">
        <v>15780.25</v>
      </c>
      <c r="E74" s="52">
        <v>17158.25</v>
      </c>
      <c r="F74" s="52">
        <v>17759.3</v>
      </c>
      <c r="G74" s="52">
        <v>17094.349999999999</v>
      </c>
      <c r="H74" s="52">
        <v>18012.2</v>
      </c>
      <c r="I74" s="52">
        <v>18758.349999999999</v>
      </c>
      <c r="J74" s="52">
        <v>18105.3</v>
      </c>
      <c r="K74" s="52">
        <v>17662.150000000001</v>
      </c>
      <c r="L74" s="52">
        <v>17359.75</v>
      </c>
      <c r="M74" s="60">
        <v>17359</v>
      </c>
      <c r="N74" s="60">
        <v>18065</v>
      </c>
      <c r="O74" s="60"/>
      <c r="P74" s="60"/>
      <c r="Q74" s="60"/>
      <c r="R74" s="60"/>
      <c r="S74" s="60"/>
      <c r="T74" s="60"/>
      <c r="U74" s="60"/>
      <c r="V74" s="60"/>
      <c r="W74" s="60"/>
      <c r="X74" s="60"/>
      <c r="Y74" s="60"/>
    </row>
    <row r="75" spans="1:25" s="79" customFormat="1" ht="12.5" x14ac:dyDescent="0.25">
      <c r="A75" s="78" t="s">
        <v>157</v>
      </c>
      <c r="B75" s="81"/>
      <c r="E75" s="79">
        <f t="shared" ref="E75:Y75" si="12">(E74-D74)/D74</f>
        <v>8.7324345305049039E-2</v>
      </c>
      <c r="F75" s="79">
        <f t="shared" si="12"/>
        <v>3.5029796162195988E-2</v>
      </c>
      <c r="G75" s="79">
        <f t="shared" si="12"/>
        <v>-3.7442354146841418E-2</v>
      </c>
      <c r="H75" s="63">
        <f t="shared" si="12"/>
        <v>5.3693179325332768E-2</v>
      </c>
      <c r="I75" s="63">
        <f t="shared" si="12"/>
        <v>4.1424701035964392E-2</v>
      </c>
      <c r="J75" s="63">
        <f t="shared" si="12"/>
        <v>-3.4813829574562756E-2</v>
      </c>
      <c r="K75" s="63">
        <f t="shared" si="12"/>
        <v>-2.4476258333195132E-2</v>
      </c>
      <c r="L75" s="63">
        <f t="shared" si="12"/>
        <v>-1.7121358385021157E-2</v>
      </c>
      <c r="M75" s="63">
        <f t="shared" si="12"/>
        <v>-4.3203387145552209E-5</v>
      </c>
      <c r="N75" s="63">
        <f t="shared" si="12"/>
        <v>4.067054553833746E-2</v>
      </c>
      <c r="O75" s="63">
        <f t="shared" si="12"/>
        <v>-1</v>
      </c>
      <c r="P75" s="63" t="e">
        <f t="shared" si="12"/>
        <v>#DIV/0!</v>
      </c>
      <c r="Q75" s="63" t="e">
        <f t="shared" si="12"/>
        <v>#DIV/0!</v>
      </c>
      <c r="R75" s="63" t="e">
        <f t="shared" si="12"/>
        <v>#DIV/0!</v>
      </c>
      <c r="S75" s="63" t="e">
        <f t="shared" si="12"/>
        <v>#DIV/0!</v>
      </c>
      <c r="T75" s="63" t="e">
        <f t="shared" si="12"/>
        <v>#DIV/0!</v>
      </c>
      <c r="U75" s="63" t="e">
        <f t="shared" si="12"/>
        <v>#DIV/0!</v>
      </c>
      <c r="V75" s="63" t="e">
        <f t="shared" si="12"/>
        <v>#DIV/0!</v>
      </c>
      <c r="W75" s="63" t="e">
        <f t="shared" si="12"/>
        <v>#DIV/0!</v>
      </c>
      <c r="X75" s="63" t="e">
        <f t="shared" si="12"/>
        <v>#DIV/0!</v>
      </c>
      <c r="Y75" s="63" t="e">
        <f t="shared" si="12"/>
        <v>#DIV/0!</v>
      </c>
    </row>
    <row r="76" spans="1:25" s="79" customFormat="1" ht="12.5" x14ac:dyDescent="0.25">
      <c r="A76" s="78" t="s">
        <v>158</v>
      </c>
      <c r="B76" s="81"/>
      <c r="E76" s="79" t="str">
        <f t="shared" ref="E76:Y76" si="13">IF((E73-E75)&gt;0.00001%,"Y","N")</f>
        <v>Y</v>
      </c>
      <c r="F76" s="79" t="str">
        <f t="shared" si="13"/>
        <v>N</v>
      </c>
      <c r="G76" s="79" t="str">
        <f t="shared" si="13"/>
        <v>N</v>
      </c>
      <c r="H76" s="79" t="str">
        <f t="shared" si="13"/>
        <v>N</v>
      </c>
      <c r="I76" s="79" t="str">
        <f>IF((I73-I75)&gt;0.00001%,"Y","N")</f>
        <v>Y</v>
      </c>
      <c r="J76" s="79" t="str">
        <f>IF((J73-J75)&gt;0.00001%,"Y","N")</f>
        <v>N</v>
      </c>
      <c r="K76" s="79" t="str">
        <f>IF((K73-K75)&gt;0.00001%,"Y","N")</f>
        <v>N</v>
      </c>
      <c r="L76" s="79" t="str">
        <f>IF((L73-L75)&gt;0.00001%,"Y","N")</f>
        <v>N</v>
      </c>
      <c r="M76" s="79" t="str">
        <f t="shared" si="13"/>
        <v>N</v>
      </c>
      <c r="N76" s="79" t="str">
        <f t="shared" si="13"/>
        <v>Y</v>
      </c>
      <c r="O76" s="79" t="str">
        <f t="shared" si="13"/>
        <v>Y</v>
      </c>
      <c r="P76" s="79" t="e">
        <f t="shared" si="13"/>
        <v>#DIV/0!</v>
      </c>
      <c r="Q76" s="79" t="e">
        <f t="shared" si="13"/>
        <v>#DIV/0!</v>
      </c>
      <c r="R76" s="79" t="e">
        <f t="shared" si="13"/>
        <v>#DIV/0!</v>
      </c>
      <c r="S76" s="79" t="e">
        <f t="shared" si="13"/>
        <v>#DIV/0!</v>
      </c>
      <c r="T76" s="79" t="e">
        <f t="shared" si="13"/>
        <v>#DIV/0!</v>
      </c>
      <c r="U76" s="79" t="e">
        <f t="shared" si="13"/>
        <v>#DIV/0!</v>
      </c>
      <c r="V76" s="79" t="e">
        <f t="shared" si="13"/>
        <v>#DIV/0!</v>
      </c>
      <c r="W76" s="79" t="e">
        <f t="shared" si="13"/>
        <v>#DIV/0!</v>
      </c>
      <c r="X76" s="79" t="e">
        <f t="shared" si="13"/>
        <v>#DIV/0!</v>
      </c>
      <c r="Y76" s="79" t="e">
        <f t="shared" si="13"/>
        <v>#DIV/0!</v>
      </c>
    </row>
    <row r="77" spans="1:25" s="77" customFormat="1" ht="12.5" x14ac:dyDescent="0.25">
      <c r="A77" s="68" t="s">
        <v>159</v>
      </c>
      <c r="B77" s="82"/>
      <c r="C77" s="66"/>
      <c r="D77" s="83"/>
      <c r="E77" s="83"/>
      <c r="F77" s="83"/>
      <c r="G77" s="130"/>
      <c r="H77" s="130"/>
      <c r="I77" s="130"/>
      <c r="J77" s="130"/>
      <c r="K77" s="130"/>
      <c r="L77" s="130"/>
      <c r="M77" s="131"/>
      <c r="N77" s="131"/>
      <c r="O77" s="46">
        <v>0.38</v>
      </c>
      <c r="P77" s="46"/>
      <c r="Q77" s="46"/>
      <c r="R77" s="46"/>
      <c r="S77" s="46"/>
      <c r="T77" s="46"/>
      <c r="U77" s="46"/>
      <c r="V77" s="46"/>
      <c r="W77" s="46"/>
      <c r="X77" s="46"/>
      <c r="Y77" s="46"/>
    </row>
    <row r="78" spans="1:25" s="77" customFormat="1" ht="12.5" x14ac:dyDescent="0.25">
      <c r="A78" s="68" t="s">
        <v>160</v>
      </c>
      <c r="B78" s="82"/>
      <c r="C78" s="82"/>
      <c r="D78" s="83"/>
      <c r="E78" s="83"/>
      <c r="F78" s="83"/>
      <c r="G78" s="130"/>
      <c r="H78" s="130"/>
      <c r="I78" s="130"/>
      <c r="J78" s="130"/>
      <c r="K78" s="130"/>
      <c r="L78" s="130"/>
      <c r="M78" s="131"/>
      <c r="N78" s="131"/>
      <c r="O78" s="46">
        <v>1.74</v>
      </c>
      <c r="P78" s="46"/>
      <c r="Q78" s="46"/>
      <c r="R78" s="46"/>
      <c r="S78" s="46"/>
      <c r="T78" s="46"/>
      <c r="U78" s="46"/>
      <c r="V78" s="46"/>
      <c r="W78" s="46"/>
      <c r="X78" s="46"/>
      <c r="Y78" s="46"/>
    </row>
    <row r="79" spans="1:25" s="77" customFormat="1" ht="12.5" x14ac:dyDescent="0.25">
      <c r="A79" s="78" t="s">
        <v>161</v>
      </c>
      <c r="B79" s="66"/>
      <c r="C79" s="83"/>
      <c r="D79" s="83"/>
      <c r="E79" s="83"/>
      <c r="F79" s="83"/>
      <c r="G79" s="130"/>
      <c r="H79" s="130"/>
      <c r="I79" s="130"/>
      <c r="J79" s="130"/>
      <c r="K79" s="130"/>
      <c r="L79" s="130"/>
      <c r="M79" s="130"/>
      <c r="N79" s="130"/>
      <c r="O79" s="44">
        <f t="shared" ref="O79:Y79" si="14">O77/O78</f>
        <v>0.21839080459770116</v>
      </c>
      <c r="P79" s="44" t="e">
        <f t="shared" si="14"/>
        <v>#DIV/0!</v>
      </c>
      <c r="Q79" s="44" t="e">
        <f t="shared" si="14"/>
        <v>#DIV/0!</v>
      </c>
      <c r="R79" s="44" t="e">
        <f t="shared" si="14"/>
        <v>#DIV/0!</v>
      </c>
      <c r="S79" s="44" t="e">
        <f t="shared" si="14"/>
        <v>#DIV/0!</v>
      </c>
      <c r="T79" s="44" t="e">
        <f t="shared" si="14"/>
        <v>#DIV/0!</v>
      </c>
      <c r="U79" s="44" t="e">
        <f t="shared" si="14"/>
        <v>#DIV/0!</v>
      </c>
      <c r="V79" s="44" t="e">
        <f t="shared" si="14"/>
        <v>#DIV/0!</v>
      </c>
      <c r="W79" s="44" t="e">
        <f t="shared" si="14"/>
        <v>#DIV/0!</v>
      </c>
      <c r="X79" s="44" t="e">
        <f t="shared" si="14"/>
        <v>#DIV/0!</v>
      </c>
      <c r="Y79" s="44" t="e">
        <f t="shared" si="14"/>
        <v>#DIV/0!</v>
      </c>
    </row>
    <row r="80" spans="1:25" s="77" customFormat="1" ht="12.5" x14ac:dyDescent="0.25">
      <c r="A80" s="68" t="s">
        <v>162</v>
      </c>
      <c r="B80" s="66"/>
      <c r="C80" s="66"/>
      <c r="D80" s="83"/>
      <c r="E80" s="83"/>
      <c r="F80" s="83"/>
      <c r="G80" s="130"/>
      <c r="H80" s="130"/>
      <c r="I80" s="130"/>
      <c r="J80" s="130"/>
      <c r="K80" s="130"/>
      <c r="L80" s="130"/>
      <c r="M80" s="131"/>
      <c r="N80" s="131"/>
      <c r="O80" s="46">
        <v>0.79</v>
      </c>
      <c r="P80" s="46"/>
      <c r="Q80" s="46"/>
      <c r="R80" s="46"/>
      <c r="S80" s="46"/>
      <c r="T80" s="46"/>
      <c r="U80" s="46"/>
      <c r="V80" s="46"/>
      <c r="W80" s="46"/>
      <c r="X80" s="46"/>
      <c r="Y80" s="46"/>
    </row>
    <row r="81" spans="1:25" s="77" customFormat="1" ht="12.5" x14ac:dyDescent="0.25">
      <c r="A81" s="68" t="s">
        <v>163</v>
      </c>
      <c r="B81" s="66"/>
      <c r="C81" s="66"/>
      <c r="D81" s="83"/>
      <c r="E81" s="83"/>
      <c r="F81" s="83"/>
      <c r="G81" s="130"/>
      <c r="H81" s="130"/>
      <c r="I81" s="130"/>
      <c r="J81" s="130"/>
      <c r="K81" s="130"/>
      <c r="L81" s="130"/>
      <c r="M81" s="131"/>
      <c r="N81" s="131"/>
      <c r="O81" s="46">
        <v>0.8</v>
      </c>
      <c r="P81" s="46"/>
      <c r="Q81" s="46"/>
      <c r="R81" s="46"/>
      <c r="S81" s="46"/>
      <c r="T81" s="46"/>
      <c r="U81" s="46"/>
      <c r="V81" s="46"/>
      <c r="W81" s="46"/>
      <c r="X81" s="46"/>
      <c r="Y81" s="46"/>
    </row>
    <row r="82" spans="1:25" s="77" customFormat="1" ht="12.5" x14ac:dyDescent="0.25">
      <c r="A82" s="78" t="s">
        <v>164</v>
      </c>
      <c r="B82" s="66"/>
      <c r="C82" s="83"/>
      <c r="D82" s="83"/>
      <c r="E82" s="83"/>
      <c r="F82" s="83"/>
      <c r="G82" s="130"/>
      <c r="H82" s="130"/>
      <c r="I82" s="130"/>
      <c r="J82" s="130"/>
      <c r="K82" s="130"/>
      <c r="L82" s="130"/>
      <c r="M82" s="130"/>
      <c r="N82" s="130"/>
      <c r="O82" s="44">
        <f t="shared" ref="O82:Y82" si="15">O80/O81</f>
        <v>0.98750000000000004</v>
      </c>
      <c r="P82" s="44" t="e">
        <f t="shared" si="15"/>
        <v>#DIV/0!</v>
      </c>
      <c r="Q82" s="44" t="e">
        <f t="shared" si="15"/>
        <v>#DIV/0!</v>
      </c>
      <c r="R82" s="44" t="e">
        <f t="shared" si="15"/>
        <v>#DIV/0!</v>
      </c>
      <c r="S82" s="44" t="e">
        <f t="shared" si="15"/>
        <v>#DIV/0!</v>
      </c>
      <c r="T82" s="44" t="e">
        <f t="shared" si="15"/>
        <v>#DIV/0!</v>
      </c>
      <c r="U82" s="44" t="e">
        <f t="shared" si="15"/>
        <v>#DIV/0!</v>
      </c>
      <c r="V82" s="44" t="e">
        <f t="shared" si="15"/>
        <v>#DIV/0!</v>
      </c>
      <c r="W82" s="44" t="e">
        <f t="shared" si="15"/>
        <v>#DIV/0!</v>
      </c>
      <c r="X82" s="44" t="e">
        <f t="shared" si="15"/>
        <v>#DIV/0!</v>
      </c>
      <c r="Y82" s="44" t="e">
        <f t="shared" si="15"/>
        <v>#DIV/0!</v>
      </c>
    </row>
    <row r="83" spans="1:25" s="77" customFormat="1" ht="12.5" x14ac:dyDescent="0.25">
      <c r="A83" s="78" t="s">
        <v>165</v>
      </c>
      <c r="B83" s="66"/>
      <c r="C83" s="66"/>
      <c r="D83" s="83"/>
      <c r="E83" s="83"/>
      <c r="F83" s="83"/>
      <c r="G83" s="130"/>
      <c r="H83" s="130"/>
      <c r="I83" s="130"/>
      <c r="J83" s="130"/>
      <c r="K83" s="130"/>
      <c r="L83" s="130"/>
      <c r="M83" s="130"/>
      <c r="N83" s="130"/>
      <c r="O83" s="44">
        <f t="shared" ref="O83:Y83" si="16">O79/O82</f>
        <v>0.22115524516222901</v>
      </c>
      <c r="P83" s="44" t="e">
        <f t="shared" si="16"/>
        <v>#DIV/0!</v>
      </c>
      <c r="Q83" s="44" t="e">
        <f t="shared" si="16"/>
        <v>#DIV/0!</v>
      </c>
      <c r="R83" s="44" t="e">
        <f t="shared" si="16"/>
        <v>#DIV/0!</v>
      </c>
      <c r="S83" s="44" t="e">
        <f t="shared" si="16"/>
        <v>#DIV/0!</v>
      </c>
      <c r="T83" s="44" t="e">
        <f t="shared" si="16"/>
        <v>#DIV/0!</v>
      </c>
      <c r="U83" s="44" t="e">
        <f t="shared" si="16"/>
        <v>#DIV/0!</v>
      </c>
      <c r="V83" s="44" t="e">
        <f t="shared" si="16"/>
        <v>#DIV/0!</v>
      </c>
      <c r="W83" s="44" t="e">
        <f t="shared" si="16"/>
        <v>#DIV/0!</v>
      </c>
      <c r="X83" s="44" t="e">
        <f t="shared" si="16"/>
        <v>#DIV/0!</v>
      </c>
      <c r="Y83" s="44" t="e">
        <f t="shared" si="16"/>
        <v>#DIV/0!</v>
      </c>
    </row>
    <row r="84" spans="1:25" s="77" customFormat="1" ht="12.5" x14ac:dyDescent="0.25">
      <c r="A84" s="68" t="s">
        <v>148</v>
      </c>
      <c r="B84" s="66"/>
      <c r="C84" s="66"/>
      <c r="D84" s="83"/>
      <c r="E84" s="83"/>
      <c r="F84" s="83"/>
      <c r="G84" s="130"/>
      <c r="H84" s="130"/>
      <c r="I84" s="130"/>
      <c r="J84" s="130"/>
      <c r="K84" s="130"/>
      <c r="L84" s="130"/>
      <c r="M84" s="130"/>
      <c r="N84" s="130"/>
      <c r="O84" s="44">
        <v>24.8</v>
      </c>
      <c r="P84" s="44"/>
      <c r="Q84" s="44"/>
      <c r="R84" s="44"/>
      <c r="S84" s="44"/>
      <c r="T84" s="44"/>
      <c r="U84" s="44"/>
      <c r="V84" s="44"/>
      <c r="W84" s="44"/>
      <c r="X84" s="44"/>
      <c r="Y84" s="44"/>
    </row>
    <row r="85" spans="1:25" s="77" customFormat="1" ht="12.5" x14ac:dyDescent="0.25">
      <c r="A85" s="68" t="s">
        <v>133</v>
      </c>
      <c r="B85" s="83"/>
      <c r="C85" s="83"/>
      <c r="D85" s="83"/>
      <c r="E85" s="83"/>
      <c r="F85" s="83"/>
      <c r="G85" s="130"/>
      <c r="H85" s="130"/>
      <c r="I85" s="130"/>
      <c r="J85" s="130"/>
      <c r="K85" s="130"/>
      <c r="L85" s="130"/>
      <c r="M85" s="131"/>
      <c r="N85" s="131"/>
      <c r="O85" s="46">
        <v>12.8</v>
      </c>
      <c r="P85" s="46"/>
      <c r="Q85" s="46"/>
      <c r="R85" s="46"/>
      <c r="S85" s="46"/>
      <c r="T85" s="46"/>
      <c r="U85" s="46"/>
      <c r="V85" s="46"/>
      <c r="W85" s="46"/>
      <c r="X85" s="46"/>
      <c r="Y85" s="46"/>
    </row>
    <row r="86" spans="1:25" s="77" customFormat="1" ht="12.5" x14ac:dyDescent="0.25">
      <c r="A86" s="78" t="s">
        <v>8</v>
      </c>
      <c r="B86" s="84"/>
      <c r="C86" s="84"/>
      <c r="D86" s="84"/>
      <c r="E86" s="84"/>
      <c r="F86" s="84"/>
      <c r="G86" s="130"/>
      <c r="H86" s="130"/>
      <c r="I86" s="130"/>
      <c r="J86" s="130"/>
      <c r="K86" s="130"/>
      <c r="L86" s="130"/>
      <c r="M86" s="130"/>
      <c r="N86" s="130"/>
      <c r="O86" s="44">
        <f t="shared" ref="O86:Y86" si="17">O72/O85</f>
        <v>58.40625</v>
      </c>
      <c r="P86" s="44" t="e">
        <f t="shared" si="17"/>
        <v>#DIV/0!</v>
      </c>
      <c r="Q86" s="44" t="e">
        <f t="shared" si="17"/>
        <v>#DIV/0!</v>
      </c>
      <c r="R86" s="44" t="e">
        <f t="shared" si="17"/>
        <v>#DIV/0!</v>
      </c>
      <c r="S86" s="44" t="e">
        <f t="shared" si="17"/>
        <v>#DIV/0!</v>
      </c>
      <c r="T86" s="44" t="e">
        <f t="shared" si="17"/>
        <v>#DIV/0!</v>
      </c>
      <c r="U86" s="44" t="e">
        <f t="shared" si="17"/>
        <v>#DIV/0!</v>
      </c>
      <c r="V86" s="44" t="e">
        <f t="shared" si="17"/>
        <v>#DIV/0!</v>
      </c>
      <c r="W86" s="44" t="e">
        <f t="shared" si="17"/>
        <v>#DIV/0!</v>
      </c>
      <c r="X86" s="44" t="e">
        <f t="shared" si="17"/>
        <v>#DIV/0!</v>
      </c>
      <c r="Y86" s="44" t="e">
        <f t="shared" si="17"/>
        <v>#DIV/0!</v>
      </c>
    </row>
    <row r="87" spans="1:25" s="79" customFormat="1" ht="12.5" x14ac:dyDescent="0.25">
      <c r="A87" s="48" t="s">
        <v>134</v>
      </c>
      <c r="B87" s="85"/>
      <c r="C87" s="85"/>
      <c r="D87" s="85"/>
      <c r="E87" s="85"/>
      <c r="F87" s="85"/>
      <c r="G87" s="85"/>
      <c r="H87" s="129"/>
      <c r="I87" s="129"/>
      <c r="J87" s="129"/>
      <c r="K87" s="129"/>
      <c r="L87" s="129"/>
      <c r="M87" s="129"/>
      <c r="N87" s="129"/>
      <c r="O87" s="63" t="e">
        <f t="shared" ref="O87:Y88" si="18">(O85-N85)/N85</f>
        <v>#DIV/0!</v>
      </c>
      <c r="P87" s="63">
        <f t="shared" si="18"/>
        <v>-1</v>
      </c>
      <c r="Q87" s="63" t="e">
        <f t="shared" si="18"/>
        <v>#DIV/0!</v>
      </c>
      <c r="R87" s="63" t="e">
        <f t="shared" si="18"/>
        <v>#DIV/0!</v>
      </c>
      <c r="S87" s="63" t="e">
        <f t="shared" si="18"/>
        <v>#DIV/0!</v>
      </c>
      <c r="T87" s="63" t="e">
        <f t="shared" si="18"/>
        <v>#DIV/0!</v>
      </c>
      <c r="U87" s="63" t="e">
        <f t="shared" si="18"/>
        <v>#DIV/0!</v>
      </c>
      <c r="V87" s="63" t="e">
        <f t="shared" si="18"/>
        <v>#DIV/0!</v>
      </c>
      <c r="W87" s="63" t="e">
        <f t="shared" si="18"/>
        <v>#DIV/0!</v>
      </c>
      <c r="X87" s="63" t="e">
        <f t="shared" si="18"/>
        <v>#DIV/0!</v>
      </c>
      <c r="Y87" s="63" t="e">
        <f t="shared" si="18"/>
        <v>#DIV/0!</v>
      </c>
    </row>
    <row r="88" spans="1:25" s="79" customFormat="1" ht="12.5" x14ac:dyDescent="0.25">
      <c r="A88" s="48" t="s">
        <v>86</v>
      </c>
      <c r="B88" s="85"/>
      <c r="C88" s="85"/>
      <c r="D88" s="85"/>
      <c r="E88" s="85"/>
      <c r="F88" s="85"/>
      <c r="G88" s="85"/>
      <c r="H88" s="129"/>
      <c r="I88" s="129"/>
      <c r="J88" s="129"/>
      <c r="K88" s="129"/>
      <c r="L88" s="129"/>
      <c r="M88" s="129"/>
      <c r="N88" s="129"/>
      <c r="O88" s="63" t="e">
        <f t="shared" si="18"/>
        <v>#DIV/0!</v>
      </c>
      <c r="P88" s="63" t="e">
        <f t="shared" si="18"/>
        <v>#DIV/0!</v>
      </c>
      <c r="Q88" s="63" t="e">
        <f t="shared" si="18"/>
        <v>#DIV/0!</v>
      </c>
      <c r="R88" s="63" t="e">
        <f t="shared" si="18"/>
        <v>#DIV/0!</v>
      </c>
      <c r="S88" s="63" t="e">
        <f t="shared" si="18"/>
        <v>#DIV/0!</v>
      </c>
      <c r="T88" s="63" t="e">
        <f t="shared" si="18"/>
        <v>#DIV/0!</v>
      </c>
      <c r="U88" s="63" t="e">
        <f t="shared" si="18"/>
        <v>#DIV/0!</v>
      </c>
      <c r="V88" s="63" t="e">
        <f t="shared" si="18"/>
        <v>#DIV/0!</v>
      </c>
      <c r="W88" s="63" t="e">
        <f t="shared" si="18"/>
        <v>#DIV/0!</v>
      </c>
      <c r="X88" s="63" t="e">
        <f t="shared" si="18"/>
        <v>#DIV/0!</v>
      </c>
      <c r="Y88" s="63" t="e">
        <f t="shared" si="18"/>
        <v>#DIV/0!</v>
      </c>
    </row>
    <row r="89" spans="1:25" s="87" customFormat="1" ht="12.5" x14ac:dyDescent="0.25">
      <c r="A89" s="57" t="s">
        <v>166</v>
      </c>
      <c r="B89" s="86"/>
      <c r="C89" s="86"/>
      <c r="D89" s="86"/>
      <c r="E89" s="86"/>
      <c r="F89" s="86"/>
      <c r="G89" s="86"/>
      <c r="H89" s="130"/>
      <c r="I89" s="130"/>
      <c r="J89" s="130"/>
      <c r="K89" s="130"/>
      <c r="L89" s="130"/>
      <c r="M89" s="130"/>
      <c r="N89" s="130"/>
      <c r="O89" s="44" t="e">
        <f t="shared" ref="O89:Y89" si="19">O87/O88</f>
        <v>#DIV/0!</v>
      </c>
      <c r="P89" s="44" t="e">
        <f t="shared" si="19"/>
        <v>#DIV/0!</v>
      </c>
      <c r="Q89" s="44" t="e">
        <f t="shared" si="19"/>
        <v>#DIV/0!</v>
      </c>
      <c r="R89" s="44" t="e">
        <f t="shared" si="19"/>
        <v>#DIV/0!</v>
      </c>
      <c r="S89" s="44" t="e">
        <f t="shared" si="19"/>
        <v>#DIV/0!</v>
      </c>
      <c r="T89" s="44" t="e">
        <f t="shared" si="19"/>
        <v>#DIV/0!</v>
      </c>
      <c r="U89" s="44" t="e">
        <f t="shared" si="19"/>
        <v>#DIV/0!</v>
      </c>
      <c r="V89" s="44" t="e">
        <f t="shared" si="19"/>
        <v>#DIV/0!</v>
      </c>
      <c r="W89" s="44" t="e">
        <f t="shared" si="19"/>
        <v>#DIV/0!</v>
      </c>
      <c r="X89" s="44" t="e">
        <f t="shared" si="19"/>
        <v>#DIV/0!</v>
      </c>
      <c r="Y89" s="44" t="e">
        <f t="shared" si="19"/>
        <v>#DIV/0!</v>
      </c>
    </row>
    <row r="90" spans="1:25" ht="15.75" customHeight="1" x14ac:dyDescent="0.25">
      <c r="A90" s="88" t="s">
        <v>167</v>
      </c>
    </row>
    <row r="91" spans="1:25" ht="15.75" customHeight="1" x14ac:dyDescent="0.25"/>
    <row r="92" spans="1:25" ht="15.75" customHeight="1" x14ac:dyDescent="0.3">
      <c r="A92" s="93" t="s">
        <v>177</v>
      </c>
      <c r="B92" s="94"/>
      <c r="C92" s="94"/>
      <c r="D92" s="94"/>
      <c r="E92" s="94"/>
      <c r="F92" s="94"/>
      <c r="G92" s="94"/>
      <c r="H92" s="94"/>
      <c r="I92" s="95"/>
      <c r="J92" s="95"/>
      <c r="K92" s="95"/>
      <c r="L92" s="95"/>
      <c r="M92" s="95"/>
    </row>
    <row r="93" spans="1:25" ht="15.75" customHeight="1" x14ac:dyDescent="0.25">
      <c r="A93" s="96"/>
      <c r="B93" s="97">
        <v>45046</v>
      </c>
      <c r="C93" s="97">
        <v>45077</v>
      </c>
      <c r="D93" s="97">
        <v>45107</v>
      </c>
      <c r="E93" s="97">
        <v>45138</v>
      </c>
      <c r="F93" s="97">
        <v>45169</v>
      </c>
      <c r="G93" s="97">
        <v>45199</v>
      </c>
      <c r="H93" s="97">
        <v>45230</v>
      </c>
      <c r="I93" s="97">
        <v>45260</v>
      </c>
      <c r="J93" s="97">
        <v>45291</v>
      </c>
      <c r="K93" s="97">
        <v>45322</v>
      </c>
      <c r="L93" s="97">
        <v>45351</v>
      </c>
      <c r="M93" s="97">
        <v>45382</v>
      </c>
    </row>
    <row r="94" spans="1:25" ht="15.75" customHeight="1" x14ac:dyDescent="0.25">
      <c r="A94" s="98" t="s">
        <v>178</v>
      </c>
      <c r="B94" s="99"/>
      <c r="C94" s="99"/>
      <c r="D94" s="99"/>
      <c r="E94" s="99"/>
      <c r="F94" s="99"/>
      <c r="G94" s="99"/>
      <c r="H94" s="100"/>
      <c r="I94" s="99"/>
      <c r="J94" s="99"/>
      <c r="K94" s="99"/>
      <c r="L94" s="99"/>
      <c r="M94" s="100"/>
    </row>
    <row r="95" spans="1:25" ht="15.75" customHeight="1" x14ac:dyDescent="0.35">
      <c r="A95" s="101" t="s">
        <v>10</v>
      </c>
      <c r="B95" s="102"/>
      <c r="C95" s="102"/>
      <c r="D95" s="102"/>
      <c r="E95" s="102"/>
      <c r="F95" s="102"/>
      <c r="G95" s="102"/>
      <c r="H95" s="103"/>
      <c r="I95" s="102"/>
      <c r="J95" s="102"/>
      <c r="K95" s="102"/>
      <c r="L95" s="102"/>
      <c r="M95" s="103"/>
    </row>
    <row r="96" spans="1:25" ht="15.75" customHeight="1" x14ac:dyDescent="0.35">
      <c r="A96" s="104" t="s">
        <v>179</v>
      </c>
      <c r="B96" s="105">
        <v>0</v>
      </c>
      <c r="C96" s="105"/>
      <c r="D96" s="105"/>
      <c r="E96" s="105"/>
      <c r="F96" s="105"/>
      <c r="G96" s="106"/>
      <c r="H96" s="106"/>
      <c r="I96" s="105"/>
      <c r="J96" s="105"/>
      <c r="K96" s="105"/>
      <c r="L96" s="106"/>
      <c r="M96" s="106"/>
    </row>
    <row r="97" spans="1:13" ht="15.75" customHeight="1" x14ac:dyDescent="0.35">
      <c r="A97" s="104" t="s">
        <v>180</v>
      </c>
      <c r="B97" s="107">
        <v>0</v>
      </c>
      <c r="C97" s="107"/>
      <c r="D97" s="107"/>
      <c r="E97" s="107"/>
      <c r="F97" s="107"/>
      <c r="G97" s="107"/>
      <c r="H97" s="107"/>
      <c r="I97" s="107"/>
      <c r="J97" s="107"/>
      <c r="K97" s="107"/>
      <c r="L97" s="107"/>
      <c r="M97" s="107"/>
    </row>
    <row r="98" spans="1:13" ht="15.75" customHeight="1" x14ac:dyDescent="0.35">
      <c r="A98" s="104" t="s">
        <v>181</v>
      </c>
      <c r="B98" s="106">
        <v>5</v>
      </c>
      <c r="C98" s="106"/>
      <c r="D98" s="106"/>
      <c r="E98" s="106"/>
      <c r="F98" s="106"/>
      <c r="G98" s="106"/>
      <c r="H98" s="106"/>
      <c r="I98" s="106"/>
      <c r="J98" s="106"/>
      <c r="K98" s="106"/>
      <c r="L98" s="106"/>
      <c r="M98" s="106"/>
    </row>
    <row r="99" spans="1:13" ht="15.75" customHeight="1" x14ac:dyDescent="0.35">
      <c r="A99" s="101" t="s">
        <v>182</v>
      </c>
      <c r="B99" s="108">
        <v>4</v>
      </c>
      <c r="C99" s="107"/>
      <c r="D99" s="107"/>
      <c r="E99" s="107"/>
      <c r="F99" s="107"/>
      <c r="G99" s="107"/>
      <c r="H99" s="107"/>
      <c r="I99" s="107"/>
      <c r="J99" s="107"/>
      <c r="K99" s="107"/>
      <c r="L99" s="107"/>
      <c r="M99" s="107"/>
    </row>
    <row r="100" spans="1:13" ht="15.75" customHeight="1" x14ac:dyDescent="0.35">
      <c r="A100" s="98" t="s">
        <v>127</v>
      </c>
      <c r="B100" s="108"/>
      <c r="C100" s="107"/>
      <c r="D100" s="107"/>
      <c r="E100" s="107"/>
      <c r="F100" s="107"/>
      <c r="G100" s="107"/>
      <c r="H100" s="107"/>
      <c r="I100" s="107"/>
      <c r="J100" s="107"/>
      <c r="K100" s="107"/>
      <c r="L100" s="107"/>
      <c r="M100" s="107"/>
    </row>
    <row r="101" spans="1:13" ht="15.75" customHeight="1" x14ac:dyDescent="0.35">
      <c r="A101" s="109" t="s">
        <v>183</v>
      </c>
      <c r="B101" s="106">
        <v>15</v>
      </c>
      <c r="C101" s="106"/>
      <c r="D101" s="108"/>
      <c r="E101" s="108"/>
      <c r="F101" s="108"/>
      <c r="G101" s="108"/>
      <c r="H101" s="108"/>
      <c r="I101" s="108"/>
      <c r="J101" s="108"/>
      <c r="K101" s="108"/>
      <c r="L101" s="108"/>
      <c r="M101" s="108"/>
    </row>
    <row r="102" spans="1:13" ht="15.75" customHeight="1" x14ac:dyDescent="0.35">
      <c r="A102" s="109" t="s">
        <v>184</v>
      </c>
      <c r="B102" s="106">
        <v>8</v>
      </c>
      <c r="C102" s="106"/>
      <c r="D102" s="108"/>
      <c r="E102" s="108"/>
      <c r="F102" s="108"/>
      <c r="G102" s="108"/>
      <c r="H102" s="108"/>
      <c r="I102" s="108"/>
      <c r="J102" s="108"/>
      <c r="K102" s="108"/>
      <c r="L102" s="108"/>
      <c r="M102" s="108"/>
    </row>
    <row r="103" spans="1:13" ht="15.75" customHeight="1" x14ac:dyDescent="0.35">
      <c r="A103" s="109" t="s">
        <v>133</v>
      </c>
      <c r="B103" s="106">
        <v>7</v>
      </c>
      <c r="C103" s="106"/>
      <c r="D103" s="108"/>
      <c r="E103" s="108"/>
      <c r="F103" s="108"/>
      <c r="G103" s="108"/>
      <c r="H103" s="108"/>
      <c r="I103" s="108"/>
      <c r="J103" s="108"/>
      <c r="K103" s="108"/>
      <c r="L103" s="108"/>
      <c r="M103" s="108"/>
    </row>
    <row r="104" spans="1:13" ht="15.75" customHeight="1" x14ac:dyDescent="0.35">
      <c r="A104" s="98" t="s">
        <v>185</v>
      </c>
      <c r="B104" s="106"/>
      <c r="C104" s="108"/>
      <c r="D104" s="108"/>
      <c r="E104" s="108"/>
      <c r="F104" s="108"/>
      <c r="G104" s="108"/>
      <c r="H104" s="108"/>
      <c r="I104" s="108"/>
      <c r="J104" s="108"/>
      <c r="K104" s="108"/>
      <c r="L104" s="108"/>
      <c r="M104" s="108"/>
    </row>
    <row r="105" spans="1:13" ht="15.75" customHeight="1" x14ac:dyDescent="0.35">
      <c r="A105" s="109" t="s">
        <v>186</v>
      </c>
      <c r="B105" s="106">
        <v>5</v>
      </c>
      <c r="C105" s="106"/>
      <c r="D105" s="108"/>
      <c r="E105" s="108"/>
      <c r="F105" s="108"/>
      <c r="G105" s="108"/>
      <c r="H105" s="108"/>
      <c r="I105" s="108"/>
      <c r="J105" s="108"/>
      <c r="K105" s="108"/>
      <c r="L105" s="108"/>
      <c r="M105" s="108"/>
    </row>
    <row r="106" spans="1:13" ht="15.75" customHeight="1" x14ac:dyDescent="0.35">
      <c r="A106" s="109" t="s">
        <v>187</v>
      </c>
      <c r="B106" s="106">
        <v>5</v>
      </c>
      <c r="C106" s="106"/>
      <c r="D106" s="108"/>
      <c r="E106" s="108"/>
      <c r="F106" s="108"/>
      <c r="G106" s="108"/>
      <c r="H106" s="108"/>
      <c r="I106" s="108"/>
      <c r="J106" s="108"/>
      <c r="K106" s="108"/>
      <c r="L106" s="108"/>
      <c r="M106" s="108"/>
    </row>
    <row r="107" spans="1:13" ht="15.75" customHeight="1" x14ac:dyDescent="0.35">
      <c r="A107" s="109" t="s">
        <v>188</v>
      </c>
      <c r="B107" s="106">
        <v>5</v>
      </c>
      <c r="C107" s="108"/>
      <c r="D107" s="108"/>
      <c r="E107" s="108"/>
      <c r="F107" s="108"/>
      <c r="G107" s="108"/>
      <c r="H107" s="108"/>
      <c r="I107" s="108"/>
      <c r="J107" s="108"/>
      <c r="K107" s="108"/>
      <c r="L107" s="108"/>
      <c r="M107" s="108"/>
    </row>
    <row r="108" spans="1:13" ht="15.75" customHeight="1" x14ac:dyDescent="0.35">
      <c r="A108" s="109" t="s">
        <v>106</v>
      </c>
      <c r="B108" s="106">
        <v>5</v>
      </c>
      <c r="C108" s="106"/>
      <c r="D108" s="108"/>
      <c r="E108" s="108"/>
      <c r="F108" s="108"/>
      <c r="G108" s="108"/>
      <c r="H108" s="108"/>
      <c r="I108" s="108"/>
      <c r="J108" s="108"/>
      <c r="K108" s="108"/>
      <c r="L108" s="108"/>
      <c r="M108" s="108"/>
    </row>
    <row r="109" spans="1:13" ht="15.75" customHeight="1" x14ac:dyDescent="0.35">
      <c r="A109" s="109" t="s">
        <v>189</v>
      </c>
      <c r="B109" s="108">
        <v>5</v>
      </c>
      <c r="C109" s="108"/>
      <c r="D109" s="108"/>
      <c r="E109" s="108"/>
      <c r="F109" s="108"/>
      <c r="G109" s="108"/>
      <c r="H109" s="108"/>
      <c r="I109" s="108"/>
      <c r="J109" s="108"/>
      <c r="K109" s="108"/>
      <c r="L109" s="108"/>
      <c r="M109" s="108"/>
    </row>
    <row r="110" spans="1:13" ht="15.75" customHeight="1" x14ac:dyDescent="0.35">
      <c r="A110" s="98" t="s">
        <v>190</v>
      </c>
      <c r="B110" s="110"/>
      <c r="C110" s="110"/>
      <c r="D110" s="110"/>
      <c r="E110" s="110"/>
      <c r="F110" s="110"/>
      <c r="G110" s="108"/>
      <c r="H110" s="108"/>
      <c r="I110" s="110"/>
      <c r="J110" s="110"/>
      <c r="K110" s="110"/>
      <c r="L110" s="108"/>
      <c r="M110" s="108"/>
    </row>
    <row r="111" spans="1:13" ht="15.75" customHeight="1" x14ac:dyDescent="0.35">
      <c r="A111" s="111" t="s">
        <v>41</v>
      </c>
      <c r="B111" s="107">
        <v>5</v>
      </c>
      <c r="C111" s="107"/>
      <c r="D111" s="107"/>
      <c r="E111" s="107"/>
      <c r="F111" s="107"/>
      <c r="G111" s="107"/>
      <c r="H111" s="107"/>
      <c r="I111" s="107"/>
      <c r="J111" s="107"/>
      <c r="K111" s="107"/>
      <c r="L111" s="107"/>
      <c r="M111" s="107"/>
    </row>
    <row r="112" spans="1:13" ht="15.75" customHeight="1" x14ac:dyDescent="0.35">
      <c r="A112" s="111" t="s">
        <v>121</v>
      </c>
      <c r="B112" s="107">
        <v>5</v>
      </c>
      <c r="C112" s="107"/>
      <c r="D112" s="107"/>
      <c r="E112" s="107"/>
      <c r="F112" s="107"/>
      <c r="G112" s="107"/>
      <c r="H112" s="107"/>
      <c r="I112" s="107"/>
      <c r="J112" s="107"/>
      <c r="K112" s="107"/>
      <c r="L112" s="107"/>
      <c r="M112" s="107"/>
    </row>
    <row r="113" spans="1:13" ht="15.75" customHeight="1" x14ac:dyDescent="0.35">
      <c r="A113" s="112" t="s">
        <v>191</v>
      </c>
      <c r="B113" s="108">
        <v>5</v>
      </c>
      <c r="C113" s="108"/>
      <c r="D113" s="108"/>
      <c r="E113" s="108"/>
      <c r="F113" s="108"/>
      <c r="G113" s="108"/>
      <c r="H113" s="108"/>
      <c r="I113" s="108"/>
      <c r="J113" s="108"/>
      <c r="K113" s="108"/>
      <c r="L113" s="108"/>
      <c r="M113" s="108"/>
    </row>
    <row r="114" spans="1:13" ht="15.75" customHeight="1" x14ac:dyDescent="0.35">
      <c r="A114" s="112" t="s">
        <v>192</v>
      </c>
      <c r="B114" s="108">
        <v>5</v>
      </c>
      <c r="C114" s="108"/>
      <c r="D114" s="108"/>
      <c r="E114" s="108"/>
      <c r="F114" s="108"/>
      <c r="G114" s="108"/>
      <c r="H114" s="108"/>
      <c r="I114" s="108"/>
      <c r="J114" s="108"/>
      <c r="K114" s="108"/>
      <c r="L114" s="108"/>
      <c r="M114" s="108"/>
    </row>
    <row r="115" spans="1:13" ht="15.75" customHeight="1" x14ac:dyDescent="0.35">
      <c r="A115" s="113" t="s">
        <v>193</v>
      </c>
      <c r="B115" s="114">
        <f>SUM(B95:B114)</f>
        <v>84</v>
      </c>
      <c r="C115" s="114"/>
      <c r="D115" s="114"/>
      <c r="E115" s="114"/>
      <c r="F115" s="114"/>
      <c r="G115" s="114"/>
      <c r="H115" s="114"/>
      <c r="I115" s="114"/>
      <c r="J115" s="114"/>
      <c r="K115" s="114"/>
      <c r="L115" s="114"/>
      <c r="M115" s="114"/>
    </row>
    <row r="116" spans="1:13" ht="15.75" customHeight="1" x14ac:dyDescent="0.25"/>
    <row r="117" spans="1:13" ht="15" customHeight="1" x14ac:dyDescent="0.3">
      <c r="A117" s="33" t="s">
        <v>194</v>
      </c>
    </row>
    <row r="118" spans="1:13" ht="15" customHeight="1" x14ac:dyDescent="0.3">
      <c r="A118" s="36" t="s">
        <v>168</v>
      </c>
      <c r="B118" s="36" t="s">
        <v>169</v>
      </c>
      <c r="C118" s="36" t="s">
        <v>170</v>
      </c>
      <c r="D118" s="36" t="s">
        <v>171</v>
      </c>
      <c r="E118" s="36" t="s">
        <v>197</v>
      </c>
      <c r="F118" s="36" t="s">
        <v>176</v>
      </c>
      <c r="G118" s="36" t="s">
        <v>172</v>
      </c>
      <c r="H118" s="36" t="s">
        <v>173</v>
      </c>
      <c r="I118" s="36" t="s">
        <v>174</v>
      </c>
    </row>
    <row r="119" spans="1:13" ht="15" customHeight="1" x14ac:dyDescent="0.3">
      <c r="A119" s="38" t="s">
        <v>139</v>
      </c>
      <c r="B119" s="48"/>
      <c r="C119" s="132" t="s">
        <v>202</v>
      </c>
      <c r="D119" s="132" t="s">
        <v>196</v>
      </c>
      <c r="E119" s="48"/>
      <c r="F119" s="132"/>
      <c r="G119" s="132"/>
      <c r="H119" s="132"/>
      <c r="I119" s="89"/>
    </row>
    <row r="120" spans="1:13" ht="15" customHeight="1" x14ac:dyDescent="0.35">
      <c r="A120" s="38" t="s">
        <v>175</v>
      </c>
      <c r="B120" s="48"/>
      <c r="C120" s="132"/>
      <c r="D120" s="132"/>
      <c r="E120" s="48"/>
      <c r="F120" s="90"/>
      <c r="G120" s="132"/>
      <c r="H120" s="132"/>
      <c r="I120" s="89"/>
    </row>
    <row r="121" spans="1:13" ht="15" customHeight="1" x14ac:dyDescent="0.3">
      <c r="A121" s="38" t="s">
        <v>141</v>
      </c>
      <c r="B121" s="48"/>
      <c r="C121" s="48"/>
      <c r="D121" s="48"/>
      <c r="E121" s="48"/>
      <c r="F121" s="48"/>
      <c r="G121" s="132"/>
      <c r="H121" s="132"/>
      <c r="I121" s="89"/>
    </row>
    <row r="122" spans="1:13" ht="15" customHeight="1" x14ac:dyDescent="0.3">
      <c r="A122" s="38" t="s">
        <v>142</v>
      </c>
      <c r="B122" s="48"/>
      <c r="C122" s="48"/>
      <c r="D122" s="48"/>
      <c r="E122" s="48"/>
      <c r="F122" s="48"/>
      <c r="G122" s="48"/>
      <c r="H122" s="48"/>
      <c r="I122" s="48"/>
    </row>
    <row r="123" spans="1:13" ht="15" customHeight="1" x14ac:dyDescent="0.3">
      <c r="A123" s="91"/>
      <c r="B123" s="92"/>
      <c r="C123" s="92"/>
      <c r="D123" s="92"/>
      <c r="E123" s="92"/>
      <c r="F123" s="92"/>
      <c r="G123" s="92"/>
      <c r="H123" s="92"/>
      <c r="I123" s="92"/>
    </row>
  </sheetData>
  <mergeCells count="1">
    <mergeCell ref="B2:M2"/>
  </mergeCells>
  <hyperlinks>
    <hyperlink ref="D119" r:id="rId1" xr:uid="{3C4D5FA7-C564-4600-8CF5-9B3CE2E8CDB9}"/>
    <hyperlink ref="C119" r:id="rId2" xr:uid="{EB304160-23F5-4DE4-B160-8F875D9639F1}"/>
  </hyperlinks>
  <pageMargins left="0.7" right="0.7" top="0.75" bottom="0.75" header="0" footer="0"/>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ABA6-96D5-4CEE-A99B-50CCA9BAF4FE}">
  <sheetPr>
    <tabColor theme="0" tint="-0.14999847407452621"/>
  </sheetPr>
  <dimension ref="A1:AY124"/>
  <sheetViews>
    <sheetView topLeftCell="A20" zoomScaleNormal="100" workbookViewId="0">
      <pane xSplit="1" topLeftCell="B1" activePane="topRight" state="frozen"/>
      <selection pane="topRight" activeCell="A120" sqref="A120"/>
    </sheetView>
  </sheetViews>
  <sheetFormatPr defaultColWidth="14.453125" defaultRowHeight="15" customHeight="1" x14ac:dyDescent="0.25"/>
  <cols>
    <col min="1" max="1" width="33.81640625" style="35" bestFit="1" customWidth="1"/>
    <col min="2" max="2" width="10.1796875" style="35" bestFit="1" customWidth="1"/>
    <col min="3" max="3" width="11.08984375" style="35" bestFit="1" customWidth="1"/>
    <col min="4" max="5" width="10.6328125" style="35" bestFit="1" customWidth="1"/>
    <col min="6" max="6" width="10.90625" style="35" bestFit="1" customWidth="1"/>
    <col min="7" max="7" width="11.81640625" style="35" bestFit="1" customWidth="1"/>
    <col min="8" max="8" width="10.453125" style="35" bestFit="1" customWidth="1"/>
    <col min="9" max="10" width="10.90625" style="35" bestFit="1" customWidth="1"/>
    <col min="11" max="11" width="10" style="35" bestFit="1" customWidth="1"/>
    <col min="12" max="12" width="10.453125" style="35" bestFit="1" customWidth="1"/>
    <col min="13" max="13" width="10.54296875" style="35" bestFit="1" customWidth="1"/>
    <col min="14" max="14" width="10.1796875" style="35" bestFit="1" customWidth="1"/>
    <col min="15" max="15" width="11.08984375" style="35" bestFit="1" customWidth="1"/>
    <col min="16" max="17" width="10.1796875" style="35" bestFit="1" customWidth="1"/>
    <col min="18" max="18" width="10.81640625" style="35" bestFit="1" customWidth="1"/>
    <col min="19" max="20" width="10.453125" style="35" bestFit="1" customWidth="1"/>
    <col min="21" max="22" width="10.90625" style="35" bestFit="1" customWidth="1"/>
    <col min="23" max="23" width="10.36328125" style="35" bestFit="1" customWidth="1"/>
    <col min="24" max="24" width="10.453125" style="35" bestFit="1" customWidth="1"/>
    <col min="25" max="25" width="10.54296875" style="35" bestFit="1" customWidth="1"/>
    <col min="26" max="16384" width="14.453125" style="35"/>
  </cols>
  <sheetData>
    <row r="1" spans="1:51" ht="15" customHeight="1" x14ac:dyDescent="0.3">
      <c r="A1" s="33" t="s">
        <v>225</v>
      </c>
      <c r="B1" s="34"/>
      <c r="C1" s="34"/>
      <c r="D1" s="34"/>
      <c r="E1" s="34"/>
      <c r="F1" s="34"/>
      <c r="G1" s="34"/>
      <c r="H1" s="34"/>
      <c r="I1" s="34"/>
      <c r="J1" s="34"/>
      <c r="K1" s="34"/>
      <c r="L1" s="34"/>
      <c r="M1" s="34"/>
      <c r="N1" s="34"/>
      <c r="O1" s="34"/>
      <c r="P1" s="34"/>
      <c r="Q1" s="34"/>
      <c r="R1" s="34"/>
      <c r="S1" s="34"/>
      <c r="T1" s="34"/>
      <c r="U1" s="34"/>
      <c r="V1" s="34"/>
      <c r="W1" s="34"/>
      <c r="X1" s="34"/>
      <c r="Y1" s="34"/>
    </row>
    <row r="2" spans="1:51" ht="15" customHeight="1" x14ac:dyDescent="0.3">
      <c r="A2" s="33" t="s">
        <v>109</v>
      </c>
      <c r="B2" s="152"/>
      <c r="C2" s="152"/>
      <c r="D2" s="152"/>
      <c r="E2" s="152"/>
      <c r="F2" s="152"/>
      <c r="G2" s="152"/>
      <c r="H2" s="152"/>
      <c r="I2" s="152"/>
      <c r="J2" s="152"/>
      <c r="K2" s="152"/>
      <c r="L2" s="152"/>
      <c r="M2" s="152"/>
      <c r="N2" s="34"/>
      <c r="O2" s="34"/>
      <c r="P2" s="34"/>
      <c r="Q2" s="34"/>
      <c r="R2" s="34"/>
      <c r="S2" s="34"/>
      <c r="T2" s="34"/>
      <c r="U2" s="34"/>
      <c r="V2" s="34"/>
      <c r="W2" s="34"/>
      <c r="X2" s="34"/>
      <c r="Y2" s="34"/>
    </row>
    <row r="3" spans="1:51" ht="15" customHeight="1" x14ac:dyDescent="0.3">
      <c r="A3" s="36"/>
      <c r="B3" s="36" t="s">
        <v>110</v>
      </c>
      <c r="C3" s="36" t="s">
        <v>111</v>
      </c>
      <c r="D3" s="37" t="s">
        <v>112</v>
      </c>
      <c r="E3" s="37" t="s">
        <v>113</v>
      </c>
      <c r="F3" s="37" t="s">
        <v>114</v>
      </c>
      <c r="G3" s="38" t="s">
        <v>115</v>
      </c>
      <c r="H3" s="38"/>
      <c r="I3" s="38"/>
      <c r="J3" s="38"/>
      <c r="K3" s="38"/>
      <c r="L3" s="38"/>
      <c r="M3" s="38"/>
      <c r="N3" s="36"/>
      <c r="O3" s="36"/>
      <c r="P3" s="36"/>
      <c r="Q3" s="36"/>
      <c r="R3" s="36"/>
      <c r="S3" s="36"/>
      <c r="T3" s="36"/>
      <c r="U3" s="36"/>
      <c r="V3" s="36"/>
      <c r="W3" s="36"/>
      <c r="X3" s="36"/>
      <c r="Y3" s="36"/>
    </row>
    <row r="4" spans="1:51" ht="15" customHeight="1" x14ac:dyDescent="0.25">
      <c r="A4" s="39" t="s">
        <v>116</v>
      </c>
      <c r="B4" s="40"/>
      <c r="C4" s="40"/>
      <c r="D4" s="40"/>
      <c r="E4" s="40"/>
      <c r="F4" s="40"/>
      <c r="G4" s="41"/>
      <c r="H4" s="42"/>
      <c r="I4" s="42"/>
      <c r="J4" s="42"/>
      <c r="K4" s="42"/>
      <c r="L4" s="42"/>
      <c r="M4" s="42"/>
      <c r="N4" s="42"/>
      <c r="O4" s="42"/>
      <c r="P4" s="42"/>
      <c r="Q4" s="42"/>
      <c r="R4" s="42"/>
      <c r="S4" s="42"/>
      <c r="T4" s="42"/>
      <c r="U4" s="42"/>
      <c r="V4" s="42"/>
      <c r="W4" s="42"/>
      <c r="X4" s="42"/>
      <c r="Y4" s="42"/>
    </row>
    <row r="5" spans="1:51" ht="15" customHeight="1" x14ac:dyDescent="0.25">
      <c r="A5" s="43" t="s">
        <v>80</v>
      </c>
      <c r="B5" s="44">
        <v>863</v>
      </c>
      <c r="C5" s="44">
        <v>1061</v>
      </c>
      <c r="D5" s="44">
        <v>1269</v>
      </c>
      <c r="E5" s="44">
        <v>1467</v>
      </c>
      <c r="F5" s="44"/>
      <c r="G5" s="45"/>
      <c r="H5" s="46"/>
      <c r="I5" s="46"/>
      <c r="J5" s="46"/>
      <c r="K5" s="46"/>
      <c r="L5" s="46"/>
      <c r="M5" s="46"/>
      <c r="N5" s="46"/>
      <c r="O5" s="46"/>
      <c r="P5" s="46"/>
      <c r="Q5" s="46"/>
      <c r="R5" s="46"/>
      <c r="S5" s="46"/>
      <c r="T5" s="46"/>
      <c r="U5" s="46"/>
      <c r="V5" s="46"/>
      <c r="W5" s="46"/>
      <c r="X5" s="46"/>
      <c r="Y5" s="46"/>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row>
    <row r="6" spans="1:51" s="50" customFormat="1" ht="15" customHeight="1" x14ac:dyDescent="0.25">
      <c r="A6" s="48" t="s">
        <v>81</v>
      </c>
      <c r="B6" s="49"/>
      <c r="C6" s="49">
        <f>(C5-B5)/B5</f>
        <v>0.22943221320973348</v>
      </c>
      <c r="D6" s="49">
        <f>(D5-C5)/C5</f>
        <v>0.19604147031102734</v>
      </c>
      <c r="E6" s="49">
        <f>(E5-D5)/D5</f>
        <v>0.15602836879432624</v>
      </c>
      <c r="F6" s="49">
        <f>(F5-E5)/E5</f>
        <v>-1</v>
      </c>
      <c r="G6" s="49" t="e">
        <f>(G5-F5)/F5</f>
        <v>#DIV/0!</v>
      </c>
      <c r="H6" s="49"/>
      <c r="I6" s="49"/>
      <c r="J6" s="49"/>
      <c r="K6" s="49"/>
      <c r="L6" s="49"/>
      <c r="M6" s="49"/>
      <c r="N6" s="49"/>
      <c r="O6" s="49"/>
      <c r="P6" s="49"/>
      <c r="Q6" s="49"/>
      <c r="R6" s="49"/>
      <c r="S6" s="49"/>
      <c r="T6" s="49"/>
      <c r="U6" s="49"/>
      <c r="V6" s="49"/>
      <c r="W6" s="49"/>
      <c r="X6" s="49"/>
      <c r="Y6" s="49"/>
    </row>
    <row r="7" spans="1:51" ht="15" customHeight="1" x14ac:dyDescent="0.25">
      <c r="A7" s="43" t="s">
        <v>117</v>
      </c>
      <c r="B7" s="44">
        <v>260</v>
      </c>
      <c r="C7" s="44">
        <v>324</v>
      </c>
      <c r="D7" s="44">
        <v>395</v>
      </c>
      <c r="E7" s="44">
        <v>441</v>
      </c>
      <c r="F7" s="45"/>
      <c r="G7" s="45"/>
      <c r="H7" s="46"/>
      <c r="I7" s="46"/>
      <c r="J7" s="46"/>
      <c r="K7" s="46"/>
      <c r="L7" s="46"/>
      <c r="M7" s="46"/>
      <c r="N7" s="46"/>
      <c r="O7" s="46"/>
      <c r="P7" s="46"/>
      <c r="Q7" s="46"/>
      <c r="R7" s="46"/>
      <c r="S7" s="46"/>
      <c r="T7" s="46"/>
      <c r="U7" s="46"/>
      <c r="V7" s="46"/>
      <c r="W7" s="46"/>
      <c r="X7" s="46"/>
      <c r="Y7" s="46"/>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row>
    <row r="8" spans="1:51" s="50" customFormat="1" ht="15" customHeight="1" x14ac:dyDescent="0.25">
      <c r="A8" s="48" t="s">
        <v>83</v>
      </c>
      <c r="B8" s="49"/>
      <c r="C8" s="49">
        <f>(C7-B7)/B7</f>
        <v>0.24615384615384617</v>
      </c>
      <c r="D8" s="49">
        <f>(D7-C7)/C7</f>
        <v>0.2191358024691358</v>
      </c>
      <c r="E8" s="49">
        <f>(E7-D7)/D7</f>
        <v>0.11645569620253164</v>
      </c>
      <c r="F8" s="49">
        <f>(F7-E7)/E7</f>
        <v>-1</v>
      </c>
      <c r="G8" s="49" t="e">
        <f>(G7-F7)/F7</f>
        <v>#DIV/0!</v>
      </c>
      <c r="H8" s="49"/>
      <c r="I8" s="49"/>
      <c r="J8" s="49"/>
      <c r="K8" s="49"/>
      <c r="L8" s="49"/>
      <c r="M8" s="49"/>
      <c r="N8" s="49"/>
      <c r="O8" s="49"/>
      <c r="P8" s="49"/>
      <c r="Q8" s="49"/>
      <c r="R8" s="49"/>
      <c r="S8" s="49"/>
      <c r="T8" s="49"/>
      <c r="U8" s="49"/>
      <c r="V8" s="49"/>
      <c r="W8" s="49"/>
      <c r="X8" s="49"/>
      <c r="Y8" s="49"/>
    </row>
    <row r="9" spans="1:51" ht="15" customHeight="1" x14ac:dyDescent="0.25">
      <c r="A9" s="43" t="s">
        <v>118</v>
      </c>
      <c r="B9" s="44">
        <v>54.38</v>
      </c>
      <c r="C9" s="44">
        <v>62.19</v>
      </c>
      <c r="D9" s="44">
        <v>77.37</v>
      </c>
      <c r="E9" s="44">
        <v>74.36</v>
      </c>
      <c r="F9" s="44"/>
      <c r="G9" s="45"/>
      <c r="H9" s="46"/>
      <c r="I9" s="46"/>
      <c r="J9" s="46"/>
      <c r="K9" s="46"/>
      <c r="L9" s="46"/>
      <c r="M9" s="46"/>
      <c r="N9" s="46"/>
      <c r="O9" s="46"/>
      <c r="P9" s="46"/>
      <c r="Q9" s="46"/>
      <c r="R9" s="46"/>
      <c r="S9" s="46"/>
      <c r="T9" s="46"/>
      <c r="U9" s="46"/>
      <c r="V9" s="46"/>
      <c r="W9" s="46"/>
      <c r="X9" s="46"/>
      <c r="Y9" s="46"/>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row>
    <row r="10" spans="1:51" s="50" customFormat="1" ht="15" customHeight="1" x14ac:dyDescent="0.25">
      <c r="A10" s="48" t="s">
        <v>85</v>
      </c>
      <c r="B10" s="49"/>
      <c r="C10" s="49">
        <f>(C9-B9)/B9</f>
        <v>0.14361897756528125</v>
      </c>
      <c r="D10" s="49">
        <f>(D9-C9)/C9</f>
        <v>0.24409068982151483</v>
      </c>
      <c r="E10" s="49">
        <f>(E9-D9)/D9</f>
        <v>-3.8903967946232451E-2</v>
      </c>
      <c r="F10" s="49">
        <f>(F9-E9)/E9</f>
        <v>-1</v>
      </c>
      <c r="G10" s="49" t="e">
        <f>(G9-F9)/F9</f>
        <v>#DIV/0!</v>
      </c>
      <c r="H10" s="49"/>
      <c r="I10" s="49"/>
      <c r="J10" s="49"/>
      <c r="K10" s="49"/>
      <c r="L10" s="49"/>
      <c r="M10" s="49"/>
      <c r="N10" s="49"/>
      <c r="O10" s="49"/>
      <c r="P10" s="49"/>
      <c r="Q10" s="49"/>
      <c r="R10" s="49"/>
      <c r="S10" s="49"/>
      <c r="T10" s="49"/>
      <c r="U10" s="49"/>
      <c r="V10" s="49"/>
      <c r="W10" s="49"/>
      <c r="X10" s="49"/>
      <c r="Y10" s="49"/>
    </row>
    <row r="11" spans="1:51" s="53" customFormat="1" ht="15" customHeight="1" x14ac:dyDescent="0.25">
      <c r="A11" s="51" t="s">
        <v>8</v>
      </c>
      <c r="B11" s="52">
        <v>28.42</v>
      </c>
      <c r="C11" s="52">
        <v>32.03</v>
      </c>
      <c r="D11" s="52">
        <v>39.56</v>
      </c>
      <c r="E11" s="52">
        <v>49.47</v>
      </c>
      <c r="F11" s="52"/>
      <c r="G11" s="52"/>
      <c r="H11" s="52"/>
      <c r="I11" s="52"/>
      <c r="J11" s="52"/>
      <c r="K11" s="52"/>
      <c r="L11" s="52"/>
      <c r="M11" s="52"/>
      <c r="N11" s="52"/>
      <c r="O11" s="52"/>
      <c r="P11" s="52"/>
      <c r="Q11" s="52"/>
      <c r="R11" s="52"/>
      <c r="S11" s="52"/>
      <c r="T11" s="52"/>
      <c r="U11" s="52"/>
      <c r="V11" s="52"/>
      <c r="W11" s="52"/>
      <c r="X11" s="52"/>
      <c r="Y11" s="52"/>
    </row>
    <row r="12" spans="1:51" s="55" customFormat="1" ht="15" customHeight="1" x14ac:dyDescent="0.25">
      <c r="A12" s="153" t="s">
        <v>88</v>
      </c>
      <c r="B12" s="54">
        <v>0.27489999999999998</v>
      </c>
      <c r="C12" s="54">
        <v>0.25819999999999999</v>
      </c>
      <c r="D12" s="54">
        <v>0.25390000000000001</v>
      </c>
      <c r="E12" s="54">
        <v>0.23669999999999999</v>
      </c>
      <c r="F12" s="54"/>
      <c r="G12" s="54"/>
      <c r="H12" s="54"/>
      <c r="I12" s="54"/>
      <c r="J12" s="54"/>
      <c r="K12" s="54"/>
      <c r="L12" s="54"/>
      <c r="M12" s="54"/>
      <c r="N12" s="54"/>
      <c r="O12" s="54"/>
      <c r="P12" s="54"/>
      <c r="Q12" s="54"/>
      <c r="R12" s="54"/>
      <c r="S12" s="54"/>
      <c r="T12" s="54"/>
      <c r="U12" s="54"/>
      <c r="V12" s="54"/>
      <c r="W12" s="54"/>
      <c r="X12" s="54"/>
      <c r="Y12" s="54"/>
    </row>
    <row r="13" spans="1:51" s="55" customFormat="1" ht="15" customHeight="1" x14ac:dyDescent="0.25">
      <c r="A13" s="56" t="s">
        <v>89</v>
      </c>
      <c r="B13" s="54">
        <v>0.191</v>
      </c>
      <c r="C13" s="54">
        <v>0.1777</v>
      </c>
      <c r="D13" s="54">
        <v>0.17330000000000001</v>
      </c>
      <c r="E13" s="54">
        <v>0.17280000000000001</v>
      </c>
      <c r="F13" s="54"/>
      <c r="G13" s="54"/>
      <c r="H13" s="54"/>
      <c r="I13" s="54"/>
      <c r="J13" s="54"/>
      <c r="K13" s="54"/>
      <c r="L13" s="54"/>
      <c r="M13" s="54"/>
      <c r="N13" s="54"/>
      <c r="O13" s="54"/>
      <c r="P13" s="54"/>
      <c r="Q13" s="54"/>
      <c r="R13" s="54"/>
      <c r="S13" s="54"/>
      <c r="T13" s="54"/>
      <c r="U13" s="54"/>
      <c r="V13" s="54"/>
      <c r="W13" s="54"/>
      <c r="X13" s="54"/>
      <c r="Y13" s="54"/>
    </row>
    <row r="14" spans="1:51" s="54" customFormat="1" ht="15" customHeight="1" x14ac:dyDescent="0.25">
      <c r="A14" s="56" t="s">
        <v>106</v>
      </c>
      <c r="B14" s="54">
        <v>0.24399999999999999</v>
      </c>
      <c r="C14" s="54">
        <v>0.29759999999999998</v>
      </c>
      <c r="D14" s="54">
        <v>0.29799999999999999</v>
      </c>
      <c r="E14" s="54">
        <v>0.25530000000000003</v>
      </c>
    </row>
    <row r="15" spans="1:51" s="54" customFormat="1" ht="15" customHeight="1" x14ac:dyDescent="0.25">
      <c r="A15" s="56" t="s">
        <v>119</v>
      </c>
      <c r="B15" s="54">
        <v>0.34920000000000001</v>
      </c>
      <c r="C15" s="54">
        <v>0.33179999999999998</v>
      </c>
      <c r="D15" s="54">
        <v>0.34139999999999998</v>
      </c>
      <c r="E15" s="54">
        <v>0.33889999999999998</v>
      </c>
    </row>
    <row r="16" spans="1:51" s="54" customFormat="1" ht="15" customHeight="1" x14ac:dyDescent="0.25">
      <c r="A16" s="56" t="s">
        <v>91</v>
      </c>
      <c r="B16" s="54">
        <v>0.24909999999999999</v>
      </c>
      <c r="C16" s="54">
        <v>0.2283</v>
      </c>
      <c r="D16" s="54">
        <v>0.23619999999999999</v>
      </c>
      <c r="E16" s="54">
        <v>0.25650000000000001</v>
      </c>
    </row>
    <row r="17" spans="1:51" ht="15" customHeight="1" x14ac:dyDescent="0.25">
      <c r="A17" s="39" t="s">
        <v>120</v>
      </c>
      <c r="B17" s="154"/>
      <c r="C17" s="154"/>
      <c r="D17" s="154"/>
      <c r="E17" s="154"/>
      <c r="F17" s="154"/>
      <c r="G17" s="42"/>
      <c r="H17" s="42"/>
      <c r="I17" s="42"/>
      <c r="J17" s="42"/>
      <c r="K17" s="42"/>
      <c r="L17" s="42"/>
      <c r="M17" s="42"/>
      <c r="N17" s="42"/>
      <c r="O17" s="42"/>
      <c r="P17" s="42"/>
      <c r="Q17" s="42"/>
      <c r="R17" s="42"/>
      <c r="S17" s="42"/>
      <c r="T17" s="42"/>
      <c r="U17" s="42"/>
      <c r="V17" s="42"/>
      <c r="W17" s="42"/>
      <c r="X17" s="42"/>
      <c r="Y17" s="42"/>
    </row>
    <row r="18" spans="1:51" ht="15" customHeight="1" x14ac:dyDescent="0.25">
      <c r="A18" s="43" t="s">
        <v>90</v>
      </c>
      <c r="B18" s="46">
        <v>0.04</v>
      </c>
      <c r="C18" s="46">
        <v>0.01</v>
      </c>
      <c r="D18" s="46">
        <v>0</v>
      </c>
      <c r="E18" s="46">
        <v>0</v>
      </c>
      <c r="F18" s="46"/>
      <c r="G18" s="46"/>
      <c r="H18" s="46"/>
      <c r="I18" s="46"/>
      <c r="J18" s="46"/>
      <c r="K18" s="46"/>
      <c r="L18" s="46"/>
      <c r="M18" s="46"/>
      <c r="N18" s="46"/>
      <c r="O18" s="46"/>
      <c r="P18" s="46"/>
      <c r="Q18" s="46"/>
      <c r="R18" s="46"/>
      <c r="S18" s="46"/>
      <c r="T18" s="46"/>
      <c r="U18" s="46"/>
      <c r="V18" s="46"/>
      <c r="W18" s="46"/>
      <c r="X18" s="46"/>
      <c r="Y18" s="46"/>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1:51" ht="15" customHeight="1" x14ac:dyDescent="0.25">
      <c r="A19" s="43" t="s">
        <v>122</v>
      </c>
      <c r="B19" s="46">
        <v>44.68</v>
      </c>
      <c r="C19" s="46">
        <v>269</v>
      </c>
      <c r="D19" s="46">
        <v>337</v>
      </c>
      <c r="E19" s="46">
        <v>271</v>
      </c>
      <c r="F19" s="46"/>
      <c r="G19" s="46"/>
      <c r="H19" s="46"/>
      <c r="I19" s="46"/>
      <c r="J19" s="46"/>
      <c r="K19" s="46"/>
      <c r="L19" s="46"/>
      <c r="M19" s="46"/>
      <c r="N19" s="46"/>
      <c r="O19" s="46"/>
      <c r="P19" s="46"/>
      <c r="Q19" s="46"/>
      <c r="R19" s="46"/>
      <c r="S19" s="46"/>
      <c r="T19" s="46"/>
      <c r="U19" s="46"/>
      <c r="V19" s="46"/>
      <c r="W19" s="46"/>
      <c r="X19" s="46"/>
      <c r="Y19" s="46"/>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row>
    <row r="20" spans="1:51" ht="15" customHeight="1" x14ac:dyDescent="0.25">
      <c r="A20" s="57" t="s">
        <v>123</v>
      </c>
      <c r="B20" s="54"/>
      <c r="C20" s="54">
        <f t="shared" ref="C20:Y20" si="0">C19/C7</f>
        <v>0.83024691358024694</v>
      </c>
      <c r="D20" s="54">
        <f t="shared" si="0"/>
        <v>0.85316455696202531</v>
      </c>
      <c r="E20" s="54">
        <f t="shared" si="0"/>
        <v>0.61451247165532885</v>
      </c>
      <c r="F20" s="54" t="e">
        <f t="shared" si="0"/>
        <v>#DIV/0!</v>
      </c>
      <c r="G20" s="54" t="e">
        <f t="shared" si="0"/>
        <v>#DIV/0!</v>
      </c>
      <c r="H20" s="54" t="e">
        <f t="shared" si="0"/>
        <v>#DIV/0!</v>
      </c>
      <c r="I20" s="54" t="e">
        <f t="shared" si="0"/>
        <v>#DIV/0!</v>
      </c>
      <c r="J20" s="54" t="e">
        <f t="shared" si="0"/>
        <v>#DIV/0!</v>
      </c>
      <c r="K20" s="54" t="e">
        <f t="shared" si="0"/>
        <v>#DIV/0!</v>
      </c>
      <c r="L20" s="54" t="e">
        <f t="shared" si="0"/>
        <v>#DIV/0!</v>
      </c>
      <c r="M20" s="54" t="e">
        <f t="shared" si="0"/>
        <v>#DIV/0!</v>
      </c>
      <c r="N20" s="54" t="e">
        <f t="shared" si="0"/>
        <v>#DIV/0!</v>
      </c>
      <c r="O20" s="54" t="e">
        <f t="shared" si="0"/>
        <v>#DIV/0!</v>
      </c>
      <c r="P20" s="54" t="e">
        <f t="shared" si="0"/>
        <v>#DIV/0!</v>
      </c>
      <c r="Q20" s="54" t="e">
        <f t="shared" si="0"/>
        <v>#DIV/0!</v>
      </c>
      <c r="R20" s="54" t="e">
        <f t="shared" si="0"/>
        <v>#DIV/0!</v>
      </c>
      <c r="S20" s="54" t="e">
        <f t="shared" si="0"/>
        <v>#DIV/0!</v>
      </c>
      <c r="T20" s="54" t="e">
        <f t="shared" si="0"/>
        <v>#DIV/0!</v>
      </c>
      <c r="U20" s="54" t="e">
        <f t="shared" si="0"/>
        <v>#DIV/0!</v>
      </c>
      <c r="V20" s="54" t="e">
        <f t="shared" si="0"/>
        <v>#DIV/0!</v>
      </c>
      <c r="W20" s="54" t="e">
        <f t="shared" si="0"/>
        <v>#DIV/0!</v>
      </c>
      <c r="X20" s="54" t="e">
        <f t="shared" si="0"/>
        <v>#DIV/0!</v>
      </c>
      <c r="Y20" s="54" t="e">
        <f t="shared" si="0"/>
        <v>#DIV/0!</v>
      </c>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row>
    <row r="21" spans="1:51" ht="15" customHeight="1" x14ac:dyDescent="0.25">
      <c r="A21" s="43" t="s">
        <v>92</v>
      </c>
      <c r="B21" s="46">
        <v>5.7</v>
      </c>
      <c r="C21" s="46">
        <v>7.1</v>
      </c>
      <c r="D21" s="46">
        <v>6.25</v>
      </c>
      <c r="E21" s="46">
        <v>5.8</v>
      </c>
      <c r="F21" s="46"/>
      <c r="G21" s="46"/>
      <c r="H21" s="46"/>
      <c r="I21" s="46"/>
      <c r="J21" s="46"/>
      <c r="K21" s="46"/>
      <c r="L21" s="46"/>
      <c r="M21" s="46"/>
      <c r="N21" s="46"/>
      <c r="O21" s="46"/>
      <c r="P21" s="46"/>
      <c r="Q21" s="46"/>
      <c r="R21" s="46"/>
      <c r="S21" s="46"/>
      <c r="T21" s="46"/>
      <c r="U21" s="46"/>
      <c r="V21" s="46"/>
      <c r="W21" s="46"/>
      <c r="X21" s="46"/>
      <c r="Y21" s="46"/>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row>
    <row r="22" spans="1:51" ht="15" customHeight="1" x14ac:dyDescent="0.25">
      <c r="A22" s="43" t="s">
        <v>124</v>
      </c>
      <c r="B22" s="46">
        <v>51.99</v>
      </c>
      <c r="C22" s="46">
        <v>62.15</v>
      </c>
      <c r="D22" s="46">
        <v>124.66</v>
      </c>
      <c r="E22" s="46"/>
      <c r="F22" s="46"/>
      <c r="G22" s="46"/>
      <c r="H22" s="46"/>
      <c r="I22" s="46"/>
      <c r="J22" s="46"/>
      <c r="K22" s="46"/>
      <c r="L22" s="46"/>
      <c r="M22" s="46"/>
      <c r="N22" s="46"/>
      <c r="O22" s="46"/>
      <c r="P22" s="46"/>
      <c r="Q22" s="46"/>
      <c r="R22" s="46"/>
      <c r="S22" s="46"/>
      <c r="T22" s="46"/>
      <c r="U22" s="46"/>
      <c r="V22" s="46"/>
      <c r="W22" s="46"/>
      <c r="X22" s="46"/>
      <c r="Y22" s="46"/>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row>
    <row r="23" spans="1:51" ht="15" customHeight="1" x14ac:dyDescent="0.25">
      <c r="A23" s="43" t="s">
        <v>125</v>
      </c>
      <c r="B23" s="46">
        <v>76.739999999999995</v>
      </c>
      <c r="C23" s="46">
        <v>73.33</v>
      </c>
      <c r="D23" s="46">
        <v>91.88</v>
      </c>
      <c r="E23" s="46">
        <v>193</v>
      </c>
      <c r="F23" s="46"/>
      <c r="G23" s="46"/>
      <c r="H23" s="46"/>
      <c r="I23" s="46"/>
      <c r="J23" s="46"/>
      <c r="K23" s="46"/>
      <c r="L23" s="46"/>
      <c r="M23" s="46"/>
      <c r="N23" s="46"/>
      <c r="O23" s="46"/>
      <c r="P23" s="46"/>
      <c r="Q23" s="46"/>
      <c r="R23" s="46"/>
      <c r="S23" s="46"/>
      <c r="T23" s="46"/>
      <c r="U23" s="46"/>
      <c r="V23" s="46"/>
      <c r="W23" s="46"/>
      <c r="X23" s="46"/>
      <c r="Y23" s="46"/>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row>
    <row r="24" spans="1:51" ht="15" customHeight="1" x14ac:dyDescent="0.25">
      <c r="A24" s="43" t="s">
        <v>126</v>
      </c>
      <c r="B24" s="46"/>
      <c r="C24" s="46"/>
      <c r="D24" s="46"/>
      <c r="E24" s="46"/>
      <c r="F24" s="46"/>
      <c r="G24" s="46"/>
      <c r="H24" s="46"/>
      <c r="I24" s="46"/>
      <c r="J24" s="46"/>
      <c r="K24" s="46"/>
      <c r="L24" s="46"/>
      <c r="M24" s="46"/>
      <c r="N24" s="46"/>
      <c r="O24" s="46"/>
      <c r="P24" s="46"/>
      <c r="Q24" s="46"/>
      <c r="R24" s="46"/>
      <c r="S24" s="46"/>
      <c r="T24" s="46"/>
      <c r="U24" s="46"/>
      <c r="V24" s="46"/>
      <c r="W24" s="46"/>
      <c r="X24" s="46"/>
      <c r="Y24" s="46"/>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1:51" ht="15" customHeight="1" x14ac:dyDescent="0.25">
      <c r="A25" s="155" t="s">
        <v>127</v>
      </c>
      <c r="B25" s="46"/>
      <c r="C25" s="46"/>
      <c r="D25" s="46"/>
      <c r="E25" s="46"/>
      <c r="F25" s="46"/>
      <c r="G25" s="46"/>
      <c r="H25" s="46"/>
      <c r="I25" s="46"/>
      <c r="J25" s="46"/>
      <c r="K25" s="46"/>
      <c r="L25" s="46"/>
      <c r="M25" s="46"/>
      <c r="N25" s="46"/>
      <c r="O25" s="46"/>
      <c r="P25" s="46"/>
      <c r="Q25" s="46"/>
      <c r="R25" s="46"/>
      <c r="S25" s="46"/>
      <c r="T25" s="46"/>
      <c r="U25" s="46"/>
      <c r="V25" s="46"/>
      <c r="W25" s="46"/>
      <c r="X25" s="46"/>
      <c r="Y25" s="46"/>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1:51" s="53" customFormat="1" ht="15" customHeight="1" x14ac:dyDescent="0.25">
      <c r="A26" s="56" t="s">
        <v>128</v>
      </c>
      <c r="B26" s="58">
        <v>2.4700000000000002</v>
      </c>
      <c r="C26" s="58">
        <v>2.88</v>
      </c>
      <c r="D26" s="52">
        <v>4.0599999999999996</v>
      </c>
      <c r="E26" s="52">
        <v>3.09</v>
      </c>
      <c r="F26" s="52"/>
      <c r="G26" s="52"/>
      <c r="H26" s="52"/>
      <c r="I26" s="52"/>
      <c r="J26" s="52"/>
      <c r="K26" s="52"/>
      <c r="L26" s="52"/>
      <c r="M26" s="52"/>
      <c r="N26" s="52"/>
      <c r="O26" s="52"/>
      <c r="P26" s="52"/>
      <c r="Q26" s="52"/>
      <c r="R26" s="52"/>
      <c r="S26" s="52"/>
      <c r="T26" s="52"/>
      <c r="U26" s="52"/>
      <c r="V26" s="52"/>
      <c r="W26" s="52"/>
      <c r="X26" s="52"/>
      <c r="Y26" s="52"/>
    </row>
    <row r="27" spans="1:51" s="53" customFormat="1" ht="15" customHeight="1" x14ac:dyDescent="0.25">
      <c r="A27" s="56" t="s">
        <v>129</v>
      </c>
      <c r="B27" s="58">
        <v>2.27</v>
      </c>
      <c r="C27" s="58">
        <v>2.48</v>
      </c>
      <c r="D27" s="58">
        <v>3.72</v>
      </c>
      <c r="E27" s="58">
        <v>2.77</v>
      </c>
      <c r="F27" s="58"/>
      <c r="G27" s="58"/>
      <c r="H27" s="58"/>
      <c r="I27" s="58"/>
      <c r="J27" s="58"/>
      <c r="K27" s="58"/>
      <c r="L27" s="58"/>
      <c r="M27" s="58"/>
      <c r="N27" s="58"/>
      <c r="O27" s="58"/>
      <c r="P27" s="58"/>
      <c r="Q27" s="58"/>
      <c r="R27" s="58"/>
      <c r="S27" s="58"/>
      <c r="T27" s="58"/>
      <c r="U27" s="58"/>
      <c r="V27" s="58"/>
      <c r="W27" s="58"/>
      <c r="X27" s="58"/>
      <c r="Y27" s="58"/>
    </row>
    <row r="28" spans="1:51" s="53" customFormat="1" ht="15" customHeight="1" x14ac:dyDescent="0.25">
      <c r="A28" s="56" t="s">
        <v>130</v>
      </c>
      <c r="B28" s="58">
        <v>1957.49</v>
      </c>
      <c r="C28" s="58">
        <v>2632.14</v>
      </c>
      <c r="D28" s="58">
        <v>4717</v>
      </c>
      <c r="E28" s="58">
        <v>4065.67</v>
      </c>
      <c r="F28" s="58"/>
      <c r="G28" s="58"/>
      <c r="H28" s="58"/>
      <c r="I28" s="58"/>
      <c r="J28" s="58"/>
      <c r="K28" s="58"/>
      <c r="L28" s="58"/>
      <c r="M28" s="58"/>
      <c r="N28" s="58"/>
      <c r="O28" s="58"/>
      <c r="P28" s="58"/>
      <c r="Q28" s="58"/>
      <c r="R28" s="58"/>
      <c r="S28" s="58"/>
      <c r="T28" s="58"/>
      <c r="U28" s="58"/>
      <c r="V28" s="58"/>
      <c r="W28" s="58"/>
      <c r="X28" s="58"/>
      <c r="Y28" s="58"/>
    </row>
    <row r="29" spans="1:51" s="53" customFormat="1" ht="15" customHeight="1" x14ac:dyDescent="0.25">
      <c r="A29" s="56" t="s">
        <v>131</v>
      </c>
      <c r="B29" s="58">
        <v>2.4700000000000002</v>
      </c>
      <c r="C29" s="58">
        <v>2.79</v>
      </c>
      <c r="D29" s="58">
        <v>3.7</v>
      </c>
      <c r="E29" s="58">
        <v>2.5299999999999998</v>
      </c>
      <c r="F29" s="58"/>
      <c r="G29" s="58"/>
      <c r="H29" s="58"/>
      <c r="I29" s="58"/>
      <c r="J29" s="58"/>
      <c r="K29" s="58"/>
      <c r="L29" s="58"/>
      <c r="M29" s="58"/>
      <c r="N29" s="58"/>
      <c r="O29" s="58"/>
      <c r="P29" s="58"/>
      <c r="Q29" s="58"/>
      <c r="R29" s="58"/>
      <c r="S29" s="58"/>
      <c r="T29" s="58"/>
      <c r="U29" s="58"/>
      <c r="V29" s="58"/>
      <c r="W29" s="58"/>
      <c r="X29" s="58"/>
      <c r="Y29" s="58"/>
    </row>
    <row r="30" spans="1:51" s="53" customFormat="1" ht="15" customHeight="1" x14ac:dyDescent="0.25">
      <c r="A30" s="56" t="s">
        <v>132</v>
      </c>
      <c r="B30" s="58">
        <v>282.39999999999998</v>
      </c>
      <c r="C30" s="58">
        <v>403.35</v>
      </c>
      <c r="D30" s="58">
        <v>678.2</v>
      </c>
      <c r="E30" s="58">
        <v>595.95000000000005</v>
      </c>
      <c r="F30" s="58"/>
      <c r="G30" s="58"/>
      <c r="H30" s="58"/>
      <c r="I30" s="58"/>
      <c r="J30" s="58"/>
      <c r="K30" s="58"/>
      <c r="L30" s="58"/>
      <c r="M30" s="58"/>
      <c r="N30" s="58"/>
      <c r="O30" s="58"/>
      <c r="P30" s="58"/>
      <c r="Q30" s="58"/>
      <c r="R30" s="58"/>
      <c r="S30" s="58"/>
      <c r="T30" s="58"/>
      <c r="U30" s="58"/>
      <c r="V30" s="58"/>
      <c r="W30" s="58"/>
      <c r="X30" s="58"/>
      <c r="Y30" s="58"/>
    </row>
    <row r="31" spans="1:51" s="53" customFormat="1" ht="15" customHeight="1" x14ac:dyDescent="0.25">
      <c r="A31" s="156" t="s">
        <v>133</v>
      </c>
      <c r="B31" s="58">
        <f>B30/B11</f>
        <v>9.936664320900773</v>
      </c>
      <c r="C31" s="58">
        <f t="shared" ref="C31:E31" si="1">C30/C11</f>
        <v>12.592881673431158</v>
      </c>
      <c r="D31" s="58">
        <f t="shared" si="1"/>
        <v>17.143579373104146</v>
      </c>
      <c r="E31" s="58">
        <f t="shared" si="1"/>
        <v>12.046694966646454</v>
      </c>
      <c r="F31" s="58"/>
      <c r="G31" s="58"/>
      <c r="H31" s="58"/>
      <c r="I31" s="58"/>
      <c r="J31" s="58"/>
      <c r="K31" s="58"/>
      <c r="L31" s="58"/>
      <c r="M31" s="58"/>
      <c r="N31" s="58"/>
      <c r="O31" s="58"/>
      <c r="P31" s="58"/>
      <c r="Q31" s="58"/>
      <c r="R31" s="58"/>
      <c r="S31" s="58"/>
      <c r="T31" s="58"/>
      <c r="U31" s="58"/>
      <c r="V31" s="58"/>
      <c r="W31" s="58"/>
      <c r="X31" s="58"/>
      <c r="Y31" s="58"/>
    </row>
    <row r="32" spans="1:51" ht="15" customHeight="1" x14ac:dyDescent="0.25">
      <c r="A32" s="156" t="s">
        <v>134</v>
      </c>
      <c r="B32" s="157"/>
      <c r="C32" s="158">
        <f t="shared" ref="C32:D32" si="2">(C31-B31)/B31</f>
        <v>0.26731479163921229</v>
      </c>
      <c r="D32" s="158">
        <f t="shared" si="2"/>
        <v>0.36137063919803097</v>
      </c>
      <c r="E32" s="158">
        <f>(E31-D31)/D31</f>
        <v>-0.29730573152383705</v>
      </c>
      <c r="F32" s="46"/>
      <c r="G32" s="46"/>
      <c r="H32" s="46"/>
      <c r="I32" s="46"/>
      <c r="J32" s="46"/>
      <c r="K32" s="46"/>
      <c r="L32" s="46"/>
      <c r="M32" s="46"/>
      <c r="N32" s="46"/>
      <c r="O32" s="46"/>
      <c r="P32" s="46"/>
      <c r="Q32" s="46"/>
      <c r="R32" s="46"/>
      <c r="S32" s="46"/>
      <c r="T32" s="46"/>
      <c r="U32" s="46"/>
      <c r="V32" s="46"/>
      <c r="W32" s="46"/>
      <c r="X32" s="46"/>
      <c r="Y32" s="46"/>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row>
    <row r="33" spans="1:51" ht="15" customHeight="1" x14ac:dyDescent="0.25">
      <c r="A33" s="156" t="s">
        <v>86</v>
      </c>
      <c r="B33" s="159"/>
      <c r="C33" s="158">
        <f t="shared" ref="C33:D33" si="3">(C11-B11)/B11</f>
        <v>0.12702322308233635</v>
      </c>
      <c r="D33" s="158">
        <f t="shared" si="3"/>
        <v>0.23509210115516707</v>
      </c>
      <c r="E33" s="158">
        <f>(E11-D11)/D11</f>
        <v>0.25050556117290185</v>
      </c>
      <c r="F33" s="46"/>
      <c r="G33" s="46"/>
      <c r="H33" s="46"/>
      <c r="I33" s="46"/>
      <c r="J33" s="46"/>
      <c r="K33" s="46"/>
      <c r="L33" s="46"/>
      <c r="M33" s="46"/>
      <c r="N33" s="46"/>
      <c r="O33" s="46"/>
      <c r="P33" s="46"/>
      <c r="Q33" s="46"/>
      <c r="R33" s="46"/>
      <c r="S33" s="46"/>
      <c r="T33" s="46"/>
      <c r="U33" s="46"/>
      <c r="V33" s="46"/>
      <c r="W33" s="46"/>
      <c r="X33" s="46"/>
      <c r="Y33" s="46"/>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row>
    <row r="34" spans="1:51" s="53" customFormat="1" ht="15" customHeight="1" x14ac:dyDescent="0.25">
      <c r="A34" s="156" t="s">
        <v>87</v>
      </c>
      <c r="B34" s="157"/>
      <c r="C34" s="58">
        <f t="shared" ref="C34:D34" si="4">C31/(C33*100)</f>
        <v>0.99138420265627036</v>
      </c>
      <c r="D34" s="58">
        <f t="shared" si="4"/>
        <v>0.72922821689312833</v>
      </c>
      <c r="E34" s="58">
        <f>E31/(E33*100)</f>
        <v>0.48089531067662344</v>
      </c>
      <c r="F34" s="60"/>
      <c r="G34" s="60"/>
      <c r="H34" s="60"/>
      <c r="I34" s="60"/>
      <c r="J34" s="60"/>
      <c r="K34" s="60"/>
      <c r="L34" s="60"/>
      <c r="M34" s="60"/>
      <c r="N34" s="60"/>
      <c r="O34" s="60"/>
      <c r="P34" s="60"/>
      <c r="Q34" s="60"/>
      <c r="R34" s="60"/>
      <c r="S34" s="60"/>
      <c r="T34" s="60"/>
      <c r="U34" s="60"/>
      <c r="V34" s="60"/>
      <c r="W34" s="60"/>
      <c r="X34" s="60"/>
      <c r="Y34" s="60"/>
    </row>
    <row r="35" spans="1:51" ht="15" customHeight="1" x14ac:dyDescent="0.3">
      <c r="A35" s="61"/>
    </row>
    <row r="36" spans="1:51" ht="15" customHeight="1" x14ac:dyDescent="0.3">
      <c r="A36" s="33" t="s">
        <v>135</v>
      </c>
      <c r="B36" s="34"/>
      <c r="C36" s="34"/>
      <c r="D36" s="34"/>
      <c r="E36" s="34"/>
      <c r="F36" s="34"/>
      <c r="G36" s="34"/>
      <c r="H36" s="34"/>
      <c r="I36" s="34"/>
      <c r="J36" s="34"/>
      <c r="K36" s="34"/>
      <c r="L36" s="34"/>
      <c r="M36" s="34"/>
      <c r="N36" s="34"/>
      <c r="O36" s="34"/>
      <c r="P36" s="34"/>
      <c r="Q36" s="34"/>
      <c r="R36" s="34"/>
      <c r="S36" s="34"/>
      <c r="T36" s="34"/>
      <c r="U36" s="34"/>
      <c r="V36" s="34"/>
      <c r="W36" s="34"/>
      <c r="X36" s="34"/>
      <c r="Y36" s="34"/>
    </row>
    <row r="37" spans="1:51" ht="15" customHeight="1" x14ac:dyDescent="0.3">
      <c r="A37" s="36"/>
      <c r="B37" s="38" t="s">
        <v>136</v>
      </c>
      <c r="C37" s="37" t="s">
        <v>137</v>
      </c>
      <c r="D37" s="38" t="s">
        <v>138</v>
      </c>
      <c r="E37" s="38" t="s">
        <v>99</v>
      </c>
      <c r="F37" s="38" t="s">
        <v>139</v>
      </c>
      <c r="G37" s="37" t="s">
        <v>140</v>
      </c>
      <c r="H37" s="38" t="s">
        <v>141</v>
      </c>
      <c r="I37" s="38" t="s">
        <v>142</v>
      </c>
      <c r="J37" s="38" t="s">
        <v>226</v>
      </c>
      <c r="K37" s="38" t="s">
        <v>227</v>
      </c>
      <c r="L37" s="38" t="s">
        <v>228</v>
      </c>
      <c r="M37" s="38" t="s">
        <v>229</v>
      </c>
      <c r="N37" s="36"/>
      <c r="O37" s="36"/>
      <c r="P37" s="36"/>
      <c r="Q37" s="36"/>
      <c r="R37" s="36"/>
      <c r="S37" s="36"/>
      <c r="T37" s="36"/>
      <c r="U37" s="36"/>
      <c r="V37" s="36"/>
      <c r="W37" s="36"/>
      <c r="X37" s="36"/>
      <c r="Y37" s="36"/>
    </row>
    <row r="38" spans="1:51" ht="15" customHeight="1" x14ac:dyDescent="0.25">
      <c r="A38" s="39" t="s">
        <v>116</v>
      </c>
      <c r="B38" s="40"/>
      <c r="C38" s="40"/>
      <c r="D38" s="40"/>
      <c r="E38" s="40"/>
      <c r="F38" s="40"/>
      <c r="G38" s="41"/>
      <c r="H38" s="42"/>
      <c r="I38" s="42"/>
      <c r="J38" s="42"/>
      <c r="K38" s="42"/>
      <c r="L38" s="42"/>
      <c r="M38" s="42"/>
      <c r="N38" s="42"/>
      <c r="O38" s="42"/>
      <c r="P38" s="42"/>
      <c r="Q38" s="42"/>
      <c r="R38" s="42"/>
      <c r="S38" s="42"/>
      <c r="T38" s="42"/>
      <c r="U38" s="42"/>
      <c r="V38" s="42"/>
      <c r="W38" s="42"/>
      <c r="X38" s="42"/>
      <c r="Y38" s="42"/>
    </row>
    <row r="39" spans="1:51" ht="15" customHeight="1" x14ac:dyDescent="0.25">
      <c r="A39" s="43" t="s">
        <v>80</v>
      </c>
      <c r="B39" s="40">
        <v>300</v>
      </c>
      <c r="C39" s="40">
        <v>304</v>
      </c>
      <c r="D39" s="40">
        <v>326</v>
      </c>
      <c r="E39" s="40">
        <v>339</v>
      </c>
      <c r="F39" s="40">
        <v>346</v>
      </c>
      <c r="G39" s="40">
        <v>359</v>
      </c>
      <c r="H39" s="46">
        <v>372</v>
      </c>
      <c r="I39" s="46">
        <v>389</v>
      </c>
      <c r="J39" s="46">
        <v>395</v>
      </c>
      <c r="K39" s="46">
        <v>410</v>
      </c>
      <c r="L39" s="46"/>
      <c r="M39" s="46"/>
      <c r="N39" s="46"/>
      <c r="O39" s="46"/>
      <c r="P39" s="46"/>
      <c r="Q39" s="46"/>
      <c r="R39" s="46"/>
      <c r="S39" s="46"/>
      <c r="T39" s="46"/>
      <c r="U39" s="46"/>
      <c r="V39" s="46"/>
      <c r="W39" s="46"/>
      <c r="X39" s="46"/>
      <c r="Y39" s="46"/>
    </row>
    <row r="40" spans="1:51" s="55" customFormat="1" ht="15" customHeight="1" x14ac:dyDescent="0.25">
      <c r="A40" s="62" t="s">
        <v>81</v>
      </c>
      <c r="B40" s="129"/>
      <c r="C40" s="129"/>
      <c r="D40" s="129"/>
      <c r="E40" s="129"/>
      <c r="F40" s="63">
        <f>(F39-B39)/B39</f>
        <v>0.15333333333333332</v>
      </c>
      <c r="G40" s="63">
        <f t="shared" ref="G40:K44" si="5">(G39-C39)/C39</f>
        <v>0.18092105263157895</v>
      </c>
      <c r="H40" s="63">
        <f t="shared" si="5"/>
        <v>0.1411042944785276</v>
      </c>
      <c r="I40" s="63">
        <f t="shared" si="5"/>
        <v>0.14749262536873156</v>
      </c>
      <c r="J40" s="63">
        <f t="shared" si="5"/>
        <v>0.1416184971098266</v>
      </c>
      <c r="K40" s="63">
        <f t="shared" si="5"/>
        <v>0.14206128133704735</v>
      </c>
      <c r="L40" s="63"/>
      <c r="M40" s="63"/>
      <c r="N40" s="63"/>
      <c r="O40" s="63"/>
      <c r="P40" s="63"/>
      <c r="Q40" s="63"/>
      <c r="R40" s="63"/>
      <c r="S40" s="63"/>
      <c r="T40" s="63"/>
      <c r="U40" s="63"/>
      <c r="V40" s="63"/>
      <c r="W40" s="63"/>
      <c r="X40" s="63"/>
      <c r="Y40" s="63"/>
    </row>
    <row r="41" spans="1:51" ht="15" customHeight="1" x14ac:dyDescent="0.25">
      <c r="A41" s="43" t="s">
        <v>82</v>
      </c>
      <c r="B41" s="44">
        <v>92.61</v>
      </c>
      <c r="C41" s="44">
        <v>101</v>
      </c>
      <c r="D41" s="44">
        <v>101</v>
      </c>
      <c r="E41" s="44">
        <v>99.94</v>
      </c>
      <c r="F41" s="44">
        <v>102</v>
      </c>
      <c r="G41" s="44">
        <v>106</v>
      </c>
      <c r="H41" s="46">
        <v>109</v>
      </c>
      <c r="I41" s="46">
        <v>124</v>
      </c>
      <c r="J41" s="46">
        <v>127</v>
      </c>
      <c r="K41" s="46">
        <v>137</v>
      </c>
      <c r="L41" s="46"/>
      <c r="M41" s="46"/>
      <c r="N41" s="46"/>
      <c r="O41" s="46"/>
      <c r="P41" s="46"/>
      <c r="Q41" s="46"/>
      <c r="R41" s="46"/>
      <c r="S41" s="46"/>
      <c r="T41" s="46"/>
      <c r="U41" s="46"/>
      <c r="V41" s="46"/>
      <c r="W41" s="46"/>
      <c r="X41" s="46"/>
      <c r="Y41" s="46"/>
    </row>
    <row r="42" spans="1:51" s="55" customFormat="1" ht="15" customHeight="1" x14ac:dyDescent="0.25">
      <c r="A42" s="62" t="s">
        <v>83</v>
      </c>
      <c r="B42" s="129"/>
      <c r="C42" s="129"/>
      <c r="D42" s="129"/>
      <c r="E42" s="129"/>
      <c r="F42" s="63">
        <f t="shared" ref="F42:I42" si="6">(F41-B41)/B41</f>
        <v>0.10139293812763202</v>
      </c>
      <c r="G42" s="63">
        <f t="shared" si="6"/>
        <v>4.9504950495049507E-2</v>
      </c>
      <c r="H42" s="63">
        <f t="shared" si="6"/>
        <v>7.9207920792079209E-2</v>
      </c>
      <c r="I42" s="63">
        <f t="shared" si="6"/>
        <v>0.24074444666800082</v>
      </c>
      <c r="J42" s="63">
        <f t="shared" si="5"/>
        <v>0.24509803921568626</v>
      </c>
      <c r="K42" s="63">
        <f t="shared" si="5"/>
        <v>0.29245283018867924</v>
      </c>
      <c r="L42" s="63"/>
      <c r="M42" s="63"/>
      <c r="N42" s="63"/>
      <c r="O42" s="63"/>
      <c r="P42" s="63"/>
      <c r="Q42" s="63"/>
      <c r="R42" s="63"/>
      <c r="S42" s="63"/>
      <c r="T42" s="63"/>
      <c r="U42" s="63"/>
      <c r="V42" s="63"/>
      <c r="W42" s="63"/>
      <c r="X42" s="63"/>
      <c r="Y42" s="63"/>
    </row>
    <row r="43" spans="1:51" ht="15" customHeight="1" x14ac:dyDescent="0.25">
      <c r="A43" s="43" t="s">
        <v>84</v>
      </c>
      <c r="B43" s="44">
        <v>71.53</v>
      </c>
      <c r="C43" s="44">
        <v>76.819999999999993</v>
      </c>
      <c r="D43" s="44">
        <v>79.28</v>
      </c>
      <c r="E43" s="44">
        <v>80.83</v>
      </c>
      <c r="F43" s="44">
        <v>86.31</v>
      </c>
      <c r="G43" s="44">
        <v>92.04</v>
      </c>
      <c r="H43" s="46">
        <v>97.38</v>
      </c>
      <c r="I43" s="46">
        <v>101</v>
      </c>
      <c r="J43" s="46">
        <v>104</v>
      </c>
      <c r="K43" s="46">
        <v>116</v>
      </c>
      <c r="L43" s="46"/>
      <c r="M43" s="46"/>
      <c r="N43" s="46"/>
      <c r="O43" s="46"/>
      <c r="P43" s="46"/>
      <c r="Q43" s="46"/>
      <c r="R43" s="46"/>
      <c r="S43" s="46"/>
      <c r="T43" s="46"/>
      <c r="U43" s="46"/>
      <c r="V43" s="46"/>
      <c r="W43" s="46"/>
      <c r="X43" s="46"/>
      <c r="Y43" s="46"/>
    </row>
    <row r="44" spans="1:51" s="55" customFormat="1" ht="15" customHeight="1" x14ac:dyDescent="0.25">
      <c r="A44" s="62" t="s">
        <v>85</v>
      </c>
      <c r="B44" s="129"/>
      <c r="C44" s="129"/>
      <c r="D44" s="129"/>
      <c r="E44" s="129"/>
      <c r="F44" s="63">
        <f t="shared" ref="F44:I44" si="7">(F43-B43)/B43</f>
        <v>0.20662659024185659</v>
      </c>
      <c r="G44" s="63">
        <f t="shared" si="7"/>
        <v>0.19812548815412673</v>
      </c>
      <c r="H44" s="63">
        <f t="shared" si="7"/>
        <v>0.22830474268415735</v>
      </c>
      <c r="I44" s="63">
        <f t="shared" si="7"/>
        <v>0.24953606334281828</v>
      </c>
      <c r="J44" s="63">
        <f t="shared" si="5"/>
        <v>0.2049588691924458</v>
      </c>
      <c r="K44" s="63">
        <f t="shared" si="5"/>
        <v>0.26032159930465004</v>
      </c>
      <c r="L44" s="63"/>
      <c r="M44" s="63"/>
      <c r="N44" s="63"/>
      <c r="O44" s="63"/>
      <c r="P44" s="63"/>
      <c r="Q44" s="63"/>
      <c r="R44" s="63"/>
      <c r="S44" s="63"/>
      <c r="T44" s="63"/>
      <c r="U44" s="63"/>
      <c r="V44" s="63"/>
      <c r="W44" s="63"/>
      <c r="X44" s="63"/>
      <c r="Y44" s="63"/>
    </row>
    <row r="45" spans="1:51" ht="15" customHeight="1" x14ac:dyDescent="0.25">
      <c r="A45" s="56" t="s">
        <v>8</v>
      </c>
      <c r="B45" s="52">
        <v>9.3699999999999992</v>
      </c>
      <c r="C45" s="40">
        <v>9.91</v>
      </c>
      <c r="D45" s="40">
        <v>9.89</v>
      </c>
      <c r="E45" s="40">
        <v>10.43</v>
      </c>
      <c r="F45" s="40">
        <v>11.21</v>
      </c>
      <c r="G45" s="40">
        <v>12.09</v>
      </c>
      <c r="H45" s="40">
        <v>12.84</v>
      </c>
      <c r="I45" s="40">
        <v>13.45</v>
      </c>
      <c r="J45" s="40">
        <v>13.62</v>
      </c>
      <c r="K45" s="40">
        <v>15.12</v>
      </c>
      <c r="L45" s="40"/>
      <c r="M45" s="40"/>
      <c r="N45" s="40"/>
      <c r="O45" s="40"/>
      <c r="P45" s="40"/>
      <c r="Q45" s="40"/>
      <c r="R45" s="40"/>
      <c r="S45" s="40"/>
      <c r="T45" s="40"/>
      <c r="U45" s="40"/>
      <c r="V45" s="40"/>
      <c r="W45" s="40"/>
      <c r="X45" s="40"/>
      <c r="Y45" s="40"/>
    </row>
    <row r="46" spans="1:51" s="55" customFormat="1" ht="15" customHeight="1" x14ac:dyDescent="0.25">
      <c r="A46" s="56" t="s">
        <v>119</v>
      </c>
      <c r="B46" s="63">
        <v>0.30819999999999997</v>
      </c>
      <c r="C46" s="63">
        <v>0.33329999999999999</v>
      </c>
      <c r="D46" s="63">
        <v>0.3095</v>
      </c>
      <c r="E46" s="63">
        <v>0.29459999999999997</v>
      </c>
      <c r="F46" s="63">
        <v>0.29499999999999998</v>
      </c>
      <c r="G46" s="63">
        <v>0.29409999999999997</v>
      </c>
      <c r="H46" s="63">
        <v>0.29399999999999998</v>
      </c>
      <c r="I46" s="63">
        <v>0.31840000000000002</v>
      </c>
      <c r="J46" s="63">
        <v>0.3201</v>
      </c>
      <c r="K46" s="63">
        <v>0.33510000000000001</v>
      </c>
      <c r="L46" s="63"/>
      <c r="M46" s="63"/>
      <c r="N46" s="63"/>
      <c r="O46" s="63"/>
      <c r="P46" s="63"/>
      <c r="Q46" s="63"/>
      <c r="R46" s="63"/>
      <c r="S46" s="63"/>
      <c r="T46" s="63"/>
      <c r="U46" s="63"/>
      <c r="V46" s="63"/>
      <c r="W46" s="63"/>
      <c r="X46" s="63"/>
      <c r="Y46" s="63"/>
    </row>
    <row r="47" spans="1:51" s="55" customFormat="1" ht="15" customHeight="1" x14ac:dyDescent="0.25">
      <c r="A47" s="56" t="s">
        <v>91</v>
      </c>
      <c r="B47" s="63">
        <v>0.23810000000000001</v>
      </c>
      <c r="C47" s="63">
        <v>0.25309999999999999</v>
      </c>
      <c r="D47" s="63">
        <v>0.24299999999999999</v>
      </c>
      <c r="E47" s="63">
        <v>0.23830000000000001</v>
      </c>
      <c r="F47" s="63">
        <v>0.2492</v>
      </c>
      <c r="G47" s="63">
        <v>0.25629999999999997</v>
      </c>
      <c r="H47" s="63">
        <v>0.26169999999999999</v>
      </c>
      <c r="I47" s="63">
        <v>0.25990000000000002</v>
      </c>
      <c r="J47" s="63">
        <v>0.26350000000000001</v>
      </c>
      <c r="K47" s="63">
        <v>0.28299999999999997</v>
      </c>
      <c r="L47" s="63"/>
      <c r="M47" s="63"/>
      <c r="N47" s="63"/>
      <c r="O47" s="63"/>
      <c r="P47" s="63"/>
      <c r="Q47" s="63"/>
      <c r="R47" s="63"/>
      <c r="S47" s="63"/>
      <c r="T47" s="63"/>
      <c r="U47" s="63"/>
      <c r="V47" s="63"/>
      <c r="W47" s="63"/>
      <c r="X47" s="63"/>
      <c r="Y47" s="63"/>
    </row>
    <row r="48" spans="1:51" s="65" customFormat="1" ht="15" customHeight="1" x14ac:dyDescent="0.25">
      <c r="A48" s="64" t="s">
        <v>127</v>
      </c>
      <c r="B48" s="63"/>
      <c r="C48" s="63"/>
      <c r="D48" s="63"/>
      <c r="E48" s="63"/>
      <c r="F48" s="63"/>
      <c r="G48" s="63"/>
      <c r="H48" s="63"/>
      <c r="I48" s="63"/>
      <c r="J48" s="63"/>
      <c r="K48" s="63"/>
      <c r="L48" s="63"/>
      <c r="M48" s="63"/>
      <c r="N48" s="63"/>
      <c r="O48" s="63"/>
      <c r="P48" s="63"/>
      <c r="Q48" s="63"/>
      <c r="R48" s="63"/>
      <c r="S48" s="63"/>
      <c r="T48" s="63"/>
      <c r="U48" s="63"/>
      <c r="V48" s="63"/>
      <c r="W48" s="63"/>
      <c r="X48" s="63"/>
      <c r="Y48" s="63"/>
    </row>
    <row r="49" spans="1:25" s="65" customFormat="1" ht="15" customHeight="1" x14ac:dyDescent="0.25">
      <c r="A49" s="62" t="s">
        <v>143</v>
      </c>
      <c r="B49" s="66"/>
      <c r="C49" s="66"/>
      <c r="D49" s="66"/>
      <c r="E49" s="58">
        <f t="shared" ref="E49:K49" si="8">E51/SUM(B39:E39)</f>
        <v>4.0403404255319151</v>
      </c>
      <c r="F49" s="58">
        <f t="shared" si="8"/>
        <v>4.0841247148288975</v>
      </c>
      <c r="G49" s="58">
        <f t="shared" si="8"/>
        <v>4.107783941605839</v>
      </c>
      <c r="H49" s="58">
        <f t="shared" si="8"/>
        <v>3.8082966101694913</v>
      </c>
      <c r="I49" s="58">
        <f t="shared" si="8"/>
        <v>3.070927694406548</v>
      </c>
      <c r="J49" s="58">
        <f t="shared" si="8"/>
        <v>4.024764356435643</v>
      </c>
      <c r="K49" s="58">
        <f t="shared" si="8"/>
        <v>4.9987228607918262</v>
      </c>
      <c r="L49" s="52"/>
      <c r="M49" s="52"/>
      <c r="N49" s="52"/>
      <c r="O49" s="52"/>
      <c r="P49" s="52"/>
      <c r="Q49" s="52"/>
      <c r="R49" s="52"/>
      <c r="S49" s="52"/>
      <c r="T49" s="52"/>
      <c r="U49" s="52"/>
      <c r="V49" s="52"/>
      <c r="W49" s="52"/>
      <c r="X49" s="52"/>
      <c r="Y49" s="52"/>
    </row>
    <row r="50" spans="1:25" s="34" customFormat="1" ht="15" customHeight="1" x14ac:dyDescent="0.25">
      <c r="A50" s="62" t="s">
        <v>144</v>
      </c>
      <c r="B50" s="67"/>
      <c r="C50" s="67"/>
      <c r="D50" s="67"/>
      <c r="E50" s="59">
        <f t="shared" ref="E50:K50" si="9">E52/SUM(B39:E39)</f>
        <v>2.0741843971631204</v>
      </c>
      <c r="F50" s="59">
        <f t="shared" si="9"/>
        <v>3.5870722433460074</v>
      </c>
      <c r="G50" s="59">
        <f t="shared" si="9"/>
        <v>3.4430656934306567</v>
      </c>
      <c r="H50" s="59">
        <f t="shared" si="9"/>
        <v>3.3312146892655368</v>
      </c>
      <c r="I50" s="59">
        <f t="shared" si="9"/>
        <v>3.217598908594816</v>
      </c>
      <c r="J50" s="59">
        <f t="shared" si="9"/>
        <v>2.6836105610561058</v>
      </c>
      <c r="K50" s="59">
        <f t="shared" si="9"/>
        <v>2.5962132822477653</v>
      </c>
      <c r="L50" s="60"/>
      <c r="M50" s="60"/>
      <c r="N50" s="60"/>
      <c r="O50" s="60"/>
      <c r="P50" s="60"/>
      <c r="Q50" s="60"/>
      <c r="R50" s="60"/>
      <c r="S50" s="60"/>
      <c r="T50" s="60"/>
      <c r="U50" s="60"/>
      <c r="V50" s="60"/>
      <c r="W50" s="60"/>
      <c r="X50" s="60"/>
      <c r="Y50" s="60"/>
    </row>
    <row r="51" spans="1:25" s="34" customFormat="1" ht="15" customHeight="1" x14ac:dyDescent="0.25">
      <c r="A51" s="160" t="s">
        <v>145</v>
      </c>
      <c r="B51" s="60">
        <f>(7.56*B53)</f>
        <v>5043.2759999999998</v>
      </c>
      <c r="C51" s="60">
        <f>(7.56*C53)</f>
        <v>6684.9299999999994</v>
      </c>
      <c r="D51" s="60">
        <f t="shared" ref="D51:J51" si="10">(7.56*D53)</f>
        <v>6487.9920000000002</v>
      </c>
      <c r="E51" s="60">
        <f t="shared" si="10"/>
        <v>5127.192</v>
      </c>
      <c r="F51" s="60">
        <f t="shared" si="10"/>
        <v>5370.6239999999998</v>
      </c>
      <c r="G51" s="60">
        <f t="shared" si="10"/>
        <v>5627.6639999999998</v>
      </c>
      <c r="H51" s="60">
        <f t="shared" si="10"/>
        <v>5392.5479999999998</v>
      </c>
      <c r="I51" s="60">
        <f t="shared" si="10"/>
        <v>4501.9799999999996</v>
      </c>
      <c r="J51" s="60">
        <f t="shared" si="10"/>
        <v>6097.5179999999991</v>
      </c>
      <c r="K51" s="60">
        <v>7828</v>
      </c>
      <c r="L51" s="60">
        <v>10538</v>
      </c>
      <c r="M51" s="60">
        <v>9989</v>
      </c>
      <c r="N51" s="60"/>
      <c r="O51" s="60"/>
      <c r="P51" s="60"/>
      <c r="Q51" s="60"/>
      <c r="R51" s="60"/>
      <c r="S51" s="60"/>
      <c r="T51" s="60"/>
      <c r="U51" s="60"/>
      <c r="V51" s="60"/>
      <c r="W51" s="60"/>
      <c r="X51" s="60"/>
      <c r="Y51" s="60"/>
    </row>
    <row r="52" spans="1:25" s="34" customFormat="1" ht="15" customHeight="1" x14ac:dyDescent="0.25">
      <c r="A52" s="160" t="s">
        <v>146</v>
      </c>
      <c r="B52" s="59">
        <f>C28</f>
        <v>2632.14</v>
      </c>
      <c r="C52" s="59">
        <f>C28</f>
        <v>2632.14</v>
      </c>
      <c r="D52" s="59">
        <f>C28</f>
        <v>2632.14</v>
      </c>
      <c r="E52" s="59">
        <f>C28</f>
        <v>2632.14</v>
      </c>
      <c r="F52" s="59">
        <f>D28</f>
        <v>4717</v>
      </c>
      <c r="G52" s="59">
        <f>D28</f>
        <v>4717</v>
      </c>
      <c r="H52" s="59">
        <f>D28</f>
        <v>4717</v>
      </c>
      <c r="I52" s="60">
        <f>D28</f>
        <v>4717</v>
      </c>
      <c r="J52" s="60">
        <f>E28</f>
        <v>4065.67</v>
      </c>
      <c r="K52" s="60">
        <v>4065.67</v>
      </c>
      <c r="L52" s="60">
        <v>4065.67</v>
      </c>
      <c r="M52" s="60">
        <f>E28</f>
        <v>4065.67</v>
      </c>
      <c r="N52" s="60"/>
      <c r="O52" s="60"/>
      <c r="P52" s="60"/>
      <c r="Q52" s="60"/>
      <c r="R52" s="60"/>
      <c r="S52" s="60"/>
      <c r="T52" s="60"/>
      <c r="U52" s="60"/>
      <c r="V52" s="60"/>
      <c r="W52" s="60"/>
      <c r="X52" s="60"/>
      <c r="Y52" s="60"/>
    </row>
    <row r="53" spans="1:25" s="34" customFormat="1" ht="15" customHeight="1" x14ac:dyDescent="0.25">
      <c r="A53" s="160" t="s">
        <v>147</v>
      </c>
      <c r="B53" s="59">
        <v>667.1</v>
      </c>
      <c r="C53" s="59">
        <v>884.25</v>
      </c>
      <c r="D53" s="59">
        <v>858.2</v>
      </c>
      <c r="E53" s="59">
        <v>678.2</v>
      </c>
      <c r="F53" s="59">
        <v>710.4</v>
      </c>
      <c r="G53" s="59">
        <v>744.4</v>
      </c>
      <c r="H53" s="59">
        <v>713.3</v>
      </c>
      <c r="I53" s="59">
        <v>595.5</v>
      </c>
      <c r="J53" s="59">
        <v>806.55</v>
      </c>
      <c r="K53" s="60">
        <v>1030.8499999999999</v>
      </c>
      <c r="L53" s="60">
        <v>1356.15</v>
      </c>
      <c r="M53" s="60">
        <v>1315.35</v>
      </c>
      <c r="N53" s="60"/>
      <c r="O53" s="60"/>
      <c r="P53" s="60"/>
      <c r="Q53" s="60"/>
      <c r="R53" s="60"/>
      <c r="S53" s="60"/>
      <c r="T53" s="60"/>
      <c r="U53" s="60"/>
      <c r="V53" s="60"/>
      <c r="W53" s="60"/>
      <c r="X53" s="60"/>
      <c r="Y53" s="60"/>
    </row>
    <row r="54" spans="1:25" s="34" customFormat="1" ht="15" customHeight="1" x14ac:dyDescent="0.25">
      <c r="A54" s="161" t="s">
        <v>148</v>
      </c>
      <c r="B54" s="67"/>
      <c r="C54" s="67"/>
      <c r="D54" s="67"/>
      <c r="E54" s="67"/>
      <c r="F54" s="67"/>
      <c r="G54" s="67"/>
      <c r="H54" s="67"/>
      <c r="I54" s="67"/>
      <c r="J54" s="67"/>
      <c r="K54" s="60">
        <v>43.37</v>
      </c>
      <c r="L54" s="60">
        <v>49.25</v>
      </c>
      <c r="M54" s="60">
        <v>54.5</v>
      </c>
      <c r="N54" s="60"/>
      <c r="O54" s="60"/>
      <c r="P54" s="60"/>
      <c r="Q54" s="60"/>
      <c r="R54" s="60"/>
      <c r="S54" s="60"/>
      <c r="T54" s="60"/>
      <c r="U54" s="60"/>
      <c r="V54" s="60"/>
      <c r="W54" s="60"/>
      <c r="X54" s="60"/>
      <c r="Y54" s="60"/>
    </row>
    <row r="55" spans="1:25" s="34" customFormat="1" ht="15" customHeight="1" x14ac:dyDescent="0.25">
      <c r="A55" s="69" t="s">
        <v>149</v>
      </c>
      <c r="B55" s="67"/>
      <c r="C55" s="67"/>
      <c r="D55" s="67"/>
      <c r="E55" s="59">
        <f>E53/(SUM(B45:E45))</f>
        <v>17.126262626262626</v>
      </c>
      <c r="F55" s="59">
        <f>F53/(SUM(C45:F45))</f>
        <v>17.142857142857142</v>
      </c>
      <c r="G55" s="59">
        <f>G53/(SUM(D45:G45))</f>
        <v>17.06556625401192</v>
      </c>
      <c r="H55" s="59">
        <f>H53/(SUM(E45:H45))</f>
        <v>15.316727506978738</v>
      </c>
      <c r="I55" s="59">
        <f t="shared" ref="I55:M55" si="11">I53/(SUM(F45:I45))</f>
        <v>12.008469449485782</v>
      </c>
      <c r="J55" s="59">
        <f t="shared" si="11"/>
        <v>15.510576923076924</v>
      </c>
      <c r="K55" s="59">
        <f t="shared" si="11"/>
        <v>18.732509540250774</v>
      </c>
      <c r="L55" s="59">
        <f t="shared" si="11"/>
        <v>32.143872955676706</v>
      </c>
      <c r="M55" s="59">
        <f t="shared" si="11"/>
        <v>45.767223382045927</v>
      </c>
      <c r="N55" s="60"/>
      <c r="O55" s="60"/>
      <c r="P55" s="60"/>
      <c r="Q55" s="60"/>
      <c r="R55" s="60"/>
      <c r="S55" s="60"/>
      <c r="T55" s="60"/>
      <c r="U55" s="60"/>
      <c r="V55" s="60"/>
      <c r="W55" s="60"/>
      <c r="X55" s="60"/>
      <c r="Y55" s="60"/>
    </row>
    <row r="56" spans="1:25" s="34" customFormat="1" ht="15" customHeight="1" x14ac:dyDescent="0.25">
      <c r="A56" s="69" t="s">
        <v>150</v>
      </c>
      <c r="B56" s="67"/>
      <c r="C56" s="70"/>
      <c r="D56" s="70"/>
      <c r="E56" s="70"/>
      <c r="F56" s="71">
        <f t="shared" ref="F56:M56" si="12">(SUM(C45:F45)-SUM(B45:E45))/SUM(B45:E45)</f>
        <v>4.6464646464646368E-2</v>
      </c>
      <c r="G56" s="71">
        <f t="shared" si="12"/>
        <v>5.2606177606177772E-2</v>
      </c>
      <c r="H56" s="71">
        <f t="shared" si="12"/>
        <v>6.7629527739569067E-2</v>
      </c>
      <c r="I56" s="71">
        <f t="shared" si="12"/>
        <v>6.4848614988189723E-2</v>
      </c>
      <c r="J56" s="71">
        <f t="shared" si="12"/>
        <v>4.8598507763661813E-2</v>
      </c>
      <c r="K56" s="71">
        <f t="shared" si="12"/>
        <v>5.8269230769230802E-2</v>
      </c>
      <c r="L56" s="71">
        <f t="shared" si="12"/>
        <v>-0.23332727603125564</v>
      </c>
      <c r="M56" s="71">
        <f t="shared" si="12"/>
        <v>-0.31879592320455086</v>
      </c>
      <c r="N56" s="60"/>
      <c r="O56" s="60"/>
      <c r="P56" s="60"/>
      <c r="Q56" s="60"/>
      <c r="R56" s="60"/>
      <c r="S56" s="60"/>
      <c r="T56" s="60"/>
      <c r="U56" s="60"/>
      <c r="V56" s="60"/>
      <c r="W56" s="60"/>
      <c r="X56" s="60"/>
      <c r="Y56" s="60"/>
    </row>
    <row r="57" spans="1:25" s="34" customFormat="1" ht="15" customHeight="1" x14ac:dyDescent="0.25">
      <c r="A57" s="69" t="s">
        <v>151</v>
      </c>
      <c r="B57" s="67"/>
      <c r="C57" s="67"/>
      <c r="D57" s="67"/>
      <c r="E57" s="67"/>
      <c r="F57" s="59">
        <f t="shared" ref="F57:M57" si="13">F55/(F56*100)</f>
        <v>3.6894409937888279</v>
      </c>
      <c r="G57" s="59">
        <f t="shared" si="13"/>
        <v>3.2440232365424388</v>
      </c>
      <c r="H57" s="59">
        <f t="shared" si="13"/>
        <v>2.2647988266251251</v>
      </c>
      <c r="I57" s="59">
        <f t="shared" si="13"/>
        <v>1.8517696101409062</v>
      </c>
      <c r="J57" s="59">
        <f t="shared" si="13"/>
        <v>3.1915747286945559</v>
      </c>
      <c r="K57" s="59">
        <f t="shared" si="13"/>
        <v>3.2148201191189427</v>
      </c>
      <c r="L57" s="59">
        <f t="shared" si="13"/>
        <v>-1.3776303183418144</v>
      </c>
      <c r="M57" s="59">
        <f t="shared" si="13"/>
        <v>-1.4356276241550316</v>
      </c>
      <c r="N57" s="60"/>
      <c r="O57" s="60"/>
      <c r="P57" s="60"/>
      <c r="Q57" s="60"/>
      <c r="R57" s="60"/>
      <c r="S57" s="60"/>
      <c r="T57" s="60"/>
      <c r="U57" s="60"/>
      <c r="V57" s="60"/>
      <c r="W57" s="60"/>
      <c r="X57" s="60"/>
      <c r="Y57" s="60"/>
    </row>
    <row r="58" spans="1:25" ht="15" customHeight="1" x14ac:dyDescent="0.3">
      <c r="A58" s="61"/>
    </row>
    <row r="59" spans="1:25" s="34" customFormat="1" ht="15" customHeight="1" x14ac:dyDescent="0.3">
      <c r="A59" s="72" t="s">
        <v>152</v>
      </c>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s="34" customFormat="1" ht="13" x14ac:dyDescent="0.25">
      <c r="A60" s="74"/>
      <c r="B60" s="75">
        <v>45199</v>
      </c>
      <c r="C60" s="75">
        <v>45230</v>
      </c>
      <c r="D60" s="75">
        <v>45260</v>
      </c>
      <c r="E60" s="75">
        <v>45291</v>
      </c>
      <c r="F60" s="75">
        <v>45322</v>
      </c>
      <c r="G60" s="75">
        <v>45350</v>
      </c>
      <c r="H60" s="75">
        <v>45382</v>
      </c>
      <c r="I60" s="75">
        <v>45199</v>
      </c>
      <c r="J60" s="75">
        <v>45230</v>
      </c>
      <c r="K60" s="75">
        <v>45260</v>
      </c>
      <c r="L60" s="75">
        <v>45291</v>
      </c>
      <c r="M60" s="75">
        <v>45322</v>
      </c>
      <c r="N60" s="75">
        <v>45350</v>
      </c>
      <c r="O60" s="75">
        <v>45382</v>
      </c>
      <c r="P60" s="75">
        <v>45199</v>
      </c>
      <c r="Q60" s="75">
        <v>45230</v>
      </c>
      <c r="R60" s="75">
        <v>45260</v>
      </c>
      <c r="S60" s="75">
        <v>45291</v>
      </c>
      <c r="T60" s="75">
        <v>45322</v>
      </c>
      <c r="U60" s="75">
        <v>45350</v>
      </c>
      <c r="V60" s="75">
        <v>45382</v>
      </c>
      <c r="W60" s="75">
        <v>45199</v>
      </c>
      <c r="X60" s="75">
        <v>45230</v>
      </c>
      <c r="Y60" s="75">
        <v>45260</v>
      </c>
    </row>
    <row r="61" spans="1:25" s="34" customFormat="1" ht="13" x14ac:dyDescent="0.25">
      <c r="A61" s="39" t="s">
        <v>153</v>
      </c>
      <c r="B61" s="42"/>
      <c r="C61" s="42"/>
      <c r="D61" s="42"/>
      <c r="E61" s="42"/>
      <c r="F61" s="42"/>
      <c r="G61" s="42"/>
      <c r="H61" s="42"/>
      <c r="I61" s="42"/>
      <c r="J61" s="42"/>
      <c r="K61" s="42"/>
      <c r="L61" s="42"/>
      <c r="M61" s="42"/>
      <c r="N61" s="42"/>
      <c r="O61" s="42"/>
      <c r="P61" s="42"/>
      <c r="Q61" s="42"/>
      <c r="R61" s="42"/>
      <c r="S61" s="42"/>
      <c r="T61" s="42"/>
      <c r="U61" s="42"/>
      <c r="V61" s="42"/>
      <c r="W61" s="42"/>
      <c r="X61" s="42"/>
      <c r="Y61" s="42"/>
    </row>
    <row r="62" spans="1:25" s="77" customFormat="1" ht="13" x14ac:dyDescent="0.25">
      <c r="A62" s="161" t="s">
        <v>154</v>
      </c>
      <c r="B62" s="60">
        <v>1030.8499999999999</v>
      </c>
      <c r="C62" s="60">
        <v>1025.5</v>
      </c>
      <c r="D62" s="60">
        <v>1255</v>
      </c>
      <c r="E62" s="60">
        <v>1356.15</v>
      </c>
      <c r="F62" s="60">
        <v>1448.35</v>
      </c>
      <c r="G62" s="60">
        <v>1483</v>
      </c>
      <c r="H62" s="60">
        <v>1315.35</v>
      </c>
      <c r="I62" s="52"/>
      <c r="J62" s="52"/>
      <c r="K62" s="52"/>
      <c r="L62" s="52"/>
      <c r="M62" s="60"/>
      <c r="N62" s="60"/>
      <c r="O62" s="60"/>
      <c r="P62" s="60"/>
      <c r="Q62" s="60"/>
      <c r="R62" s="60"/>
      <c r="S62" s="60"/>
      <c r="T62" s="60"/>
      <c r="U62" s="60"/>
      <c r="V62" s="60"/>
      <c r="W62" s="60"/>
      <c r="X62" s="60"/>
      <c r="Y62" s="60"/>
    </row>
    <row r="63" spans="1:25" s="80" customFormat="1" ht="12.5" x14ac:dyDescent="0.25">
      <c r="A63" s="78" t="s">
        <v>155</v>
      </c>
      <c r="B63" s="63"/>
      <c r="C63" s="63">
        <f t="shared" ref="C63:Y63" si="14">(C62-B62)/B62</f>
        <v>-5.1898918368335932E-3</v>
      </c>
      <c r="D63" s="63">
        <f t="shared" si="14"/>
        <v>0.22379327157484155</v>
      </c>
      <c r="E63" s="63">
        <f t="shared" si="14"/>
        <v>8.0597609561753061E-2</v>
      </c>
      <c r="F63" s="63">
        <f t="shared" si="14"/>
        <v>6.798657965564267E-2</v>
      </c>
      <c r="G63" s="63">
        <f t="shared" si="14"/>
        <v>2.3923775330548621E-2</v>
      </c>
      <c r="H63" s="63">
        <f t="shared" si="14"/>
        <v>-0.1130478759271747</v>
      </c>
      <c r="I63" s="63">
        <f t="shared" si="14"/>
        <v>-1</v>
      </c>
      <c r="J63" s="63" t="e">
        <f t="shared" si="14"/>
        <v>#DIV/0!</v>
      </c>
      <c r="K63" s="63" t="e">
        <f t="shared" si="14"/>
        <v>#DIV/0!</v>
      </c>
      <c r="L63" s="63" t="e">
        <f t="shared" si="14"/>
        <v>#DIV/0!</v>
      </c>
      <c r="M63" s="63" t="e">
        <f t="shared" si="14"/>
        <v>#DIV/0!</v>
      </c>
      <c r="N63" s="63" t="e">
        <f t="shared" si="14"/>
        <v>#DIV/0!</v>
      </c>
      <c r="O63" s="63" t="e">
        <f t="shared" si="14"/>
        <v>#DIV/0!</v>
      </c>
      <c r="P63" s="63" t="e">
        <f t="shared" si="14"/>
        <v>#DIV/0!</v>
      </c>
      <c r="Q63" s="63" t="e">
        <f t="shared" si="14"/>
        <v>#DIV/0!</v>
      </c>
      <c r="R63" s="63" t="e">
        <f t="shared" si="14"/>
        <v>#DIV/0!</v>
      </c>
      <c r="S63" s="63" t="e">
        <f t="shared" si="14"/>
        <v>#DIV/0!</v>
      </c>
      <c r="T63" s="63" t="e">
        <f t="shared" si="14"/>
        <v>#DIV/0!</v>
      </c>
      <c r="U63" s="63" t="e">
        <f t="shared" si="14"/>
        <v>#DIV/0!</v>
      </c>
      <c r="V63" s="63" t="e">
        <f t="shared" si="14"/>
        <v>#DIV/0!</v>
      </c>
      <c r="W63" s="63" t="e">
        <f t="shared" si="14"/>
        <v>#DIV/0!</v>
      </c>
      <c r="X63" s="63" t="e">
        <f t="shared" si="14"/>
        <v>#DIV/0!</v>
      </c>
      <c r="Y63" s="63" t="e">
        <f t="shared" si="14"/>
        <v>#DIV/0!</v>
      </c>
    </row>
    <row r="64" spans="1:25" s="77" customFormat="1" ht="13" x14ac:dyDescent="0.25">
      <c r="A64" s="161" t="s">
        <v>156</v>
      </c>
      <c r="B64" s="60">
        <v>19638.3</v>
      </c>
      <c r="C64" s="60">
        <v>19079.599999999999</v>
      </c>
      <c r="D64" s="60">
        <v>20133.150000000001</v>
      </c>
      <c r="E64" s="60">
        <v>21731.4</v>
      </c>
      <c r="F64" s="60">
        <v>21725.7</v>
      </c>
      <c r="G64" s="60">
        <v>21982.799999999999</v>
      </c>
      <c r="H64" s="60">
        <v>22326.9</v>
      </c>
      <c r="I64" s="52">
        <v>18758.349999999999</v>
      </c>
      <c r="J64" s="52">
        <v>18105.3</v>
      </c>
      <c r="K64" s="52">
        <v>17662.150000000001</v>
      </c>
      <c r="L64" s="52">
        <v>17359.75</v>
      </c>
      <c r="M64" s="60">
        <v>17359</v>
      </c>
      <c r="N64" s="60">
        <v>18065</v>
      </c>
      <c r="O64" s="60">
        <v>18534.400000000001</v>
      </c>
      <c r="P64" s="60">
        <v>19189.05</v>
      </c>
      <c r="Q64" s="60">
        <v>19753.8</v>
      </c>
      <c r="R64" s="60">
        <v>19253.8</v>
      </c>
      <c r="S64" s="60"/>
      <c r="T64" s="60"/>
      <c r="U64" s="60"/>
      <c r="V64" s="60"/>
      <c r="W64" s="60"/>
      <c r="X64" s="60"/>
      <c r="Y64" s="60"/>
    </row>
    <row r="65" spans="1:25" s="79" customFormat="1" ht="12.5" x14ac:dyDescent="0.25">
      <c r="A65" s="78" t="s">
        <v>157</v>
      </c>
      <c r="B65" s="63"/>
      <c r="C65" s="63">
        <f t="shared" ref="C65:Y65" si="15">(C64-B64)/B64</f>
        <v>-2.8449509377084611E-2</v>
      </c>
      <c r="D65" s="63">
        <f t="shared" si="15"/>
        <v>5.5218662865049742E-2</v>
      </c>
      <c r="E65" s="63">
        <f t="shared" si="15"/>
        <v>7.9384001013254255E-2</v>
      </c>
      <c r="F65" s="63">
        <f t="shared" si="15"/>
        <v>-2.6229327148737439E-4</v>
      </c>
      <c r="G65" s="63">
        <f t="shared" si="15"/>
        <v>1.1833910990209685E-2</v>
      </c>
      <c r="H65" s="63">
        <f t="shared" si="15"/>
        <v>1.5653147005841032E-2</v>
      </c>
      <c r="I65" s="63">
        <f t="shared" si="15"/>
        <v>-0.15983186201398325</v>
      </c>
      <c r="J65" s="63">
        <f t="shared" si="15"/>
        <v>-3.4813829574562756E-2</v>
      </c>
      <c r="K65" s="63">
        <f t="shared" si="15"/>
        <v>-2.4476258333195132E-2</v>
      </c>
      <c r="L65" s="63">
        <f t="shared" si="15"/>
        <v>-1.7121358385021157E-2</v>
      </c>
      <c r="M65" s="63">
        <f t="shared" si="15"/>
        <v>-4.3203387145552209E-5</v>
      </c>
      <c r="N65" s="63">
        <f t="shared" si="15"/>
        <v>4.067054553833746E-2</v>
      </c>
      <c r="O65" s="63">
        <f t="shared" si="15"/>
        <v>2.5983946858566368E-2</v>
      </c>
      <c r="P65" s="63">
        <f t="shared" si="15"/>
        <v>3.5320808874309273E-2</v>
      </c>
      <c r="Q65" s="63">
        <f t="shared" si="15"/>
        <v>2.9430847280089427E-2</v>
      </c>
      <c r="R65" s="63">
        <f t="shared" si="15"/>
        <v>-2.5311585618969516E-2</v>
      </c>
      <c r="S65" s="63">
        <f t="shared" si="15"/>
        <v>-1</v>
      </c>
      <c r="T65" s="63" t="e">
        <f t="shared" si="15"/>
        <v>#DIV/0!</v>
      </c>
      <c r="U65" s="63" t="e">
        <f t="shared" si="15"/>
        <v>#DIV/0!</v>
      </c>
      <c r="V65" s="63" t="e">
        <f t="shared" si="15"/>
        <v>#DIV/0!</v>
      </c>
      <c r="W65" s="63" t="e">
        <f t="shared" si="15"/>
        <v>#DIV/0!</v>
      </c>
      <c r="X65" s="63" t="e">
        <f t="shared" si="15"/>
        <v>#DIV/0!</v>
      </c>
      <c r="Y65" s="63" t="e">
        <f t="shared" si="15"/>
        <v>#DIV/0!</v>
      </c>
    </row>
    <row r="66" spans="1:25" s="79" customFormat="1" ht="12.5" x14ac:dyDescent="0.25">
      <c r="A66" s="78" t="s">
        <v>158</v>
      </c>
      <c r="C66" s="79" t="str">
        <f t="shared" ref="C66:H66" si="16">IF((C63-C65)&gt;0.00001%,"Y","N")</f>
        <v>Y</v>
      </c>
      <c r="D66" s="79" t="str">
        <f t="shared" si="16"/>
        <v>Y</v>
      </c>
      <c r="E66" s="79" t="str">
        <f t="shared" si="16"/>
        <v>Y</v>
      </c>
      <c r="F66" s="79" t="str">
        <f t="shared" si="16"/>
        <v>Y</v>
      </c>
      <c r="G66" s="79" t="str">
        <f t="shared" si="16"/>
        <v>Y</v>
      </c>
      <c r="H66" s="79" t="str">
        <f t="shared" si="16"/>
        <v>N</v>
      </c>
      <c r="I66" s="79" t="str">
        <f>IF((I63-I65)&gt;0.00001%,"Y","N")</f>
        <v>N</v>
      </c>
      <c r="J66" s="79" t="e">
        <f>IF((J63-J65)&gt;0.00001%,"Y","N")</f>
        <v>#DIV/0!</v>
      </c>
      <c r="K66" s="79" t="e">
        <f>IF((K63-K65)&gt;0.00001%,"Y","N")</f>
        <v>#DIV/0!</v>
      </c>
      <c r="L66" s="79" t="e">
        <f>IF((L63-L65)&gt;0.00001%,"Y","N")</f>
        <v>#DIV/0!</v>
      </c>
      <c r="M66" s="79" t="e">
        <f t="shared" ref="M66:Y66" si="17">IF((M63-M65)&gt;0.00001%,"Y","N")</f>
        <v>#DIV/0!</v>
      </c>
      <c r="N66" s="79" t="e">
        <f t="shared" si="17"/>
        <v>#DIV/0!</v>
      </c>
      <c r="O66" s="79" t="e">
        <f t="shared" si="17"/>
        <v>#DIV/0!</v>
      </c>
      <c r="P66" s="79" t="e">
        <f t="shared" si="17"/>
        <v>#DIV/0!</v>
      </c>
      <c r="Q66" s="79" t="e">
        <f t="shared" si="17"/>
        <v>#DIV/0!</v>
      </c>
      <c r="R66" s="79" t="e">
        <f t="shared" si="17"/>
        <v>#DIV/0!</v>
      </c>
      <c r="S66" s="79" t="e">
        <f t="shared" si="17"/>
        <v>#DIV/0!</v>
      </c>
      <c r="T66" s="79" t="e">
        <f t="shared" si="17"/>
        <v>#DIV/0!</v>
      </c>
      <c r="U66" s="79" t="e">
        <f t="shared" si="17"/>
        <v>#DIV/0!</v>
      </c>
      <c r="V66" s="79" t="e">
        <f t="shared" si="17"/>
        <v>#DIV/0!</v>
      </c>
      <c r="W66" s="79" t="e">
        <f t="shared" si="17"/>
        <v>#DIV/0!</v>
      </c>
      <c r="X66" s="79" t="e">
        <f t="shared" si="17"/>
        <v>#DIV/0!</v>
      </c>
      <c r="Y66" s="79" t="e">
        <f t="shared" si="17"/>
        <v>#DIV/0!</v>
      </c>
    </row>
    <row r="67" spans="1:25" s="77" customFormat="1" ht="13" x14ac:dyDescent="0.25">
      <c r="A67" s="161" t="s">
        <v>159</v>
      </c>
      <c r="B67" s="46">
        <v>1.33</v>
      </c>
      <c r="C67" s="46">
        <v>1.29</v>
      </c>
      <c r="D67" s="46">
        <v>1.72</v>
      </c>
      <c r="E67" s="46">
        <v>2.08</v>
      </c>
      <c r="F67" s="46">
        <v>2.0299999999999998</v>
      </c>
      <c r="G67" s="46">
        <v>2.15</v>
      </c>
      <c r="H67" s="46">
        <v>1.93</v>
      </c>
      <c r="I67" s="44">
        <v>0.08</v>
      </c>
      <c r="J67" s="44">
        <v>-0.11</v>
      </c>
      <c r="K67" s="44">
        <v>-0.47</v>
      </c>
      <c r="L67" s="44">
        <v>-0.63</v>
      </c>
      <c r="M67" s="46">
        <v>-0.63</v>
      </c>
      <c r="N67" s="46">
        <v>-0.6</v>
      </c>
      <c r="O67" s="46">
        <v>-0.31</v>
      </c>
      <c r="P67" s="46">
        <v>-0.32</v>
      </c>
      <c r="Q67" s="46">
        <v>-0.41</v>
      </c>
      <c r="R67" s="46">
        <v>-0.6</v>
      </c>
      <c r="S67" s="46"/>
      <c r="T67" s="46"/>
      <c r="U67" s="46"/>
      <c r="V67" s="46"/>
      <c r="W67" s="46"/>
      <c r="X67" s="46"/>
      <c r="Y67" s="46"/>
    </row>
    <row r="68" spans="1:25" s="77" customFormat="1" ht="13" x14ac:dyDescent="0.25">
      <c r="A68" s="161" t="s">
        <v>160</v>
      </c>
      <c r="B68" s="46">
        <v>1.89</v>
      </c>
      <c r="C68" s="46">
        <v>1.98</v>
      </c>
      <c r="D68" s="46">
        <v>2.08</v>
      </c>
      <c r="E68" s="46">
        <v>2.16</v>
      </c>
      <c r="F68" s="46">
        <v>33</v>
      </c>
      <c r="G68" s="46">
        <v>0.28000000000000003</v>
      </c>
      <c r="H68" s="46">
        <v>0.4</v>
      </c>
      <c r="I68" s="44">
        <v>2.84</v>
      </c>
      <c r="J68" s="44">
        <v>2.74</v>
      </c>
      <c r="K68" s="44">
        <v>2.64</v>
      </c>
      <c r="L68" s="44">
        <v>2.54</v>
      </c>
      <c r="M68" s="46">
        <v>2.54</v>
      </c>
      <c r="N68" s="46">
        <v>2.38</v>
      </c>
      <c r="O68" s="46">
        <v>2.2400000000000002</v>
      </c>
      <c r="P68" s="46">
        <v>2.11</v>
      </c>
      <c r="Q68" s="46">
        <v>2.12</v>
      </c>
      <c r="R68" s="46">
        <v>2.0499999999999998</v>
      </c>
      <c r="S68" s="46"/>
      <c r="T68" s="46"/>
      <c r="U68" s="46"/>
      <c r="V68" s="46"/>
      <c r="W68" s="46"/>
      <c r="X68" s="46"/>
      <c r="Y68" s="46"/>
    </row>
    <row r="69" spans="1:25" s="77" customFormat="1" ht="12.5" x14ac:dyDescent="0.25">
      <c r="A69" s="78" t="s">
        <v>161</v>
      </c>
      <c r="B69" s="44">
        <f t="shared" ref="B69:H69" si="18">B67/B68</f>
        <v>0.70370370370370383</v>
      </c>
      <c r="C69" s="44">
        <f t="shared" si="18"/>
        <v>0.65151515151515149</v>
      </c>
      <c r="D69" s="44">
        <f t="shared" si="18"/>
        <v>0.82692307692307687</v>
      </c>
      <c r="E69" s="44">
        <f t="shared" si="18"/>
        <v>0.96296296296296291</v>
      </c>
      <c r="F69" s="44">
        <f t="shared" si="18"/>
        <v>6.1515151515151509E-2</v>
      </c>
      <c r="G69" s="44">
        <f t="shared" si="18"/>
        <v>7.6785714285714279</v>
      </c>
      <c r="H69" s="44">
        <f t="shared" si="18"/>
        <v>4.8249999999999993</v>
      </c>
      <c r="I69" s="44">
        <f>I67/I68</f>
        <v>2.8169014084507043E-2</v>
      </c>
      <c r="J69" s="44">
        <f>J67/J68</f>
        <v>-4.0145985401459854E-2</v>
      </c>
      <c r="K69" s="44">
        <f>K67/K68</f>
        <v>-0.17803030303030301</v>
      </c>
      <c r="L69" s="44">
        <f>L67/L68</f>
        <v>-0.24803149606299213</v>
      </c>
      <c r="M69" s="44">
        <f t="shared" ref="M69:Y69" si="19">M67/M68</f>
        <v>-0.24803149606299213</v>
      </c>
      <c r="N69" s="44">
        <f t="shared" si="19"/>
        <v>-0.25210084033613445</v>
      </c>
      <c r="O69" s="44">
        <f t="shared" si="19"/>
        <v>-0.13839285714285712</v>
      </c>
      <c r="P69" s="44">
        <f t="shared" si="19"/>
        <v>-0.15165876777251186</v>
      </c>
      <c r="Q69" s="44">
        <f t="shared" si="19"/>
        <v>-0.19339622641509432</v>
      </c>
      <c r="R69" s="44">
        <f t="shared" si="19"/>
        <v>-0.29268292682926833</v>
      </c>
      <c r="S69" s="44" t="e">
        <f t="shared" si="19"/>
        <v>#DIV/0!</v>
      </c>
      <c r="T69" s="44" t="e">
        <f t="shared" si="19"/>
        <v>#DIV/0!</v>
      </c>
      <c r="U69" s="44" t="e">
        <f t="shared" si="19"/>
        <v>#DIV/0!</v>
      </c>
      <c r="V69" s="44" t="e">
        <f t="shared" si="19"/>
        <v>#DIV/0!</v>
      </c>
      <c r="W69" s="44" t="e">
        <f t="shared" si="19"/>
        <v>#DIV/0!</v>
      </c>
      <c r="X69" s="44" t="e">
        <f t="shared" si="19"/>
        <v>#DIV/0!</v>
      </c>
      <c r="Y69" s="44" t="e">
        <f t="shared" si="19"/>
        <v>#DIV/0!</v>
      </c>
    </row>
    <row r="70" spans="1:25" s="77" customFormat="1" ht="13" x14ac:dyDescent="0.25">
      <c r="A70" s="161" t="s">
        <v>162</v>
      </c>
      <c r="B70" s="46">
        <v>1.43</v>
      </c>
      <c r="C70" s="46">
        <v>0.49</v>
      </c>
      <c r="D70" s="46">
        <v>0.5</v>
      </c>
      <c r="E70" s="46">
        <v>1.74</v>
      </c>
      <c r="F70" s="46">
        <v>0.89</v>
      </c>
      <c r="G70" s="46">
        <v>0.96</v>
      </c>
      <c r="H70" s="46">
        <v>1.77</v>
      </c>
      <c r="I70" s="162">
        <v>0.7</v>
      </c>
      <c r="J70" s="162">
        <v>0.43</v>
      </c>
      <c r="K70" s="162">
        <v>0.15</v>
      </c>
      <c r="L70" s="162">
        <v>0.16</v>
      </c>
      <c r="M70" s="46">
        <v>0.17</v>
      </c>
      <c r="N70" s="46">
        <v>0.18</v>
      </c>
      <c r="O70" s="46">
        <v>0.79</v>
      </c>
      <c r="P70" s="46">
        <v>1.67</v>
      </c>
      <c r="Q70" s="46">
        <v>1.07</v>
      </c>
      <c r="R70" s="46">
        <v>0.68</v>
      </c>
      <c r="S70" s="46"/>
      <c r="T70" s="46"/>
      <c r="U70" s="46"/>
      <c r="V70" s="46"/>
      <c r="W70" s="46"/>
      <c r="X70" s="46"/>
      <c r="Y70" s="46"/>
    </row>
    <row r="71" spans="1:25" s="77" customFormat="1" ht="13" x14ac:dyDescent="0.25">
      <c r="A71" s="161" t="s">
        <v>163</v>
      </c>
      <c r="B71" s="46">
        <v>0.66</v>
      </c>
      <c r="C71" s="46">
        <v>0.64</v>
      </c>
      <c r="D71" s="46">
        <v>0.63</v>
      </c>
      <c r="E71" s="46">
        <v>0.63</v>
      </c>
      <c r="F71" s="46">
        <v>0.97</v>
      </c>
      <c r="G71" s="46">
        <v>0.99</v>
      </c>
      <c r="H71" s="46">
        <v>1</v>
      </c>
      <c r="I71" s="44">
        <v>1.1200000000000001</v>
      </c>
      <c r="J71" s="44">
        <v>1.0900000000000001</v>
      </c>
      <c r="K71" s="44">
        <v>1.08</v>
      </c>
      <c r="L71" s="44">
        <v>0.94</v>
      </c>
      <c r="M71" s="46">
        <v>0.94</v>
      </c>
      <c r="N71" s="46">
        <v>0.89</v>
      </c>
      <c r="O71" s="46">
        <v>0.8</v>
      </c>
      <c r="P71" s="46">
        <v>0.75</v>
      </c>
      <c r="Q71" s="46">
        <v>0.73</v>
      </c>
      <c r="R71" s="46">
        <v>0.69</v>
      </c>
      <c r="S71" s="46"/>
      <c r="T71" s="46"/>
      <c r="U71" s="46"/>
      <c r="V71" s="46"/>
      <c r="W71" s="46"/>
      <c r="X71" s="46"/>
      <c r="Y71" s="46"/>
    </row>
    <row r="72" spans="1:25" s="77" customFormat="1" ht="12.5" x14ac:dyDescent="0.25">
      <c r="A72" s="78" t="s">
        <v>164</v>
      </c>
      <c r="B72" s="44">
        <f t="shared" ref="B72:H72" si="20">B70/B71</f>
        <v>2.1666666666666665</v>
      </c>
      <c r="C72" s="44">
        <f t="shared" si="20"/>
        <v>0.765625</v>
      </c>
      <c r="D72" s="44">
        <f t="shared" si="20"/>
        <v>0.79365079365079361</v>
      </c>
      <c r="E72" s="44">
        <f t="shared" si="20"/>
        <v>2.7619047619047619</v>
      </c>
      <c r="F72" s="44">
        <f t="shared" si="20"/>
        <v>0.91752577319587636</v>
      </c>
      <c r="G72" s="44">
        <f t="shared" si="20"/>
        <v>0.96969696969696972</v>
      </c>
      <c r="H72" s="44">
        <f t="shared" si="20"/>
        <v>1.77</v>
      </c>
      <c r="I72" s="44">
        <f>I70/I71</f>
        <v>0.62499999999999989</v>
      </c>
      <c r="J72" s="44">
        <f>J70/J71</f>
        <v>0.39449541284403666</v>
      </c>
      <c r="K72" s="44">
        <f>K70/K71</f>
        <v>0.13888888888888887</v>
      </c>
      <c r="L72" s="44">
        <f>L70/L71</f>
        <v>0.17021276595744683</v>
      </c>
      <c r="M72" s="44">
        <f t="shared" ref="M72:Y72" si="21">M70/M71</f>
        <v>0.18085106382978725</v>
      </c>
      <c r="N72" s="44">
        <f t="shared" si="21"/>
        <v>0.20224719101123595</v>
      </c>
      <c r="O72" s="44">
        <f t="shared" si="21"/>
        <v>0.98750000000000004</v>
      </c>
      <c r="P72" s="44">
        <f t="shared" si="21"/>
        <v>2.2266666666666666</v>
      </c>
      <c r="Q72" s="44">
        <f t="shared" si="21"/>
        <v>1.4657534246575343</v>
      </c>
      <c r="R72" s="44">
        <f t="shared" si="21"/>
        <v>0.98550724637681175</v>
      </c>
      <c r="S72" s="44" t="e">
        <f t="shared" si="21"/>
        <v>#DIV/0!</v>
      </c>
      <c r="T72" s="44" t="e">
        <f t="shared" si="21"/>
        <v>#DIV/0!</v>
      </c>
      <c r="U72" s="44" t="e">
        <f t="shared" si="21"/>
        <v>#DIV/0!</v>
      </c>
      <c r="V72" s="44" t="e">
        <f t="shared" si="21"/>
        <v>#DIV/0!</v>
      </c>
      <c r="W72" s="44" t="e">
        <f t="shared" si="21"/>
        <v>#DIV/0!</v>
      </c>
      <c r="X72" s="44" t="e">
        <f t="shared" si="21"/>
        <v>#DIV/0!</v>
      </c>
      <c r="Y72" s="44" t="e">
        <f t="shared" si="21"/>
        <v>#DIV/0!</v>
      </c>
    </row>
    <row r="73" spans="1:25" s="77" customFormat="1" ht="12.5" x14ac:dyDescent="0.25">
      <c r="A73" s="78" t="s">
        <v>165</v>
      </c>
      <c r="B73" s="44">
        <f t="shared" ref="B73:H73" si="22">B69/B72</f>
        <v>0.32478632478632485</v>
      </c>
      <c r="C73" s="44">
        <f t="shared" si="22"/>
        <v>0.85095856524427949</v>
      </c>
      <c r="D73" s="44">
        <f t="shared" si="22"/>
        <v>1.041923076923077</v>
      </c>
      <c r="E73" s="44">
        <f t="shared" si="22"/>
        <v>0.34865900383141762</v>
      </c>
      <c r="F73" s="44">
        <f t="shared" si="22"/>
        <v>6.7044603336738159E-2</v>
      </c>
      <c r="G73" s="44">
        <f t="shared" si="22"/>
        <v>7.9185267857142847</v>
      </c>
      <c r="H73" s="44">
        <f t="shared" si="22"/>
        <v>2.7259887005649714</v>
      </c>
      <c r="I73" s="44">
        <f>I69/I72</f>
        <v>4.5070422535211277E-2</v>
      </c>
      <c r="J73" s="44">
        <f>J69/J72</f>
        <v>-0.10176540485486336</v>
      </c>
      <c r="K73" s="44">
        <f>K69/K72</f>
        <v>-1.281818181818182</v>
      </c>
      <c r="L73" s="44">
        <f>L69/L72</f>
        <v>-1.4571850393700785</v>
      </c>
      <c r="M73" s="44">
        <f t="shared" ref="M73:Y73" si="23">M69/M72</f>
        <v>-1.3714682723483094</v>
      </c>
      <c r="N73" s="44">
        <f t="shared" si="23"/>
        <v>-1.2464985994397759</v>
      </c>
      <c r="O73" s="44">
        <f t="shared" si="23"/>
        <v>-0.14014466546112114</v>
      </c>
      <c r="P73" s="44">
        <f t="shared" si="23"/>
        <v>-6.8110225047535264E-2</v>
      </c>
      <c r="Q73" s="44">
        <f t="shared" si="23"/>
        <v>-0.13194321989067181</v>
      </c>
      <c r="R73" s="44">
        <f t="shared" si="23"/>
        <v>-0.29698708751793401</v>
      </c>
      <c r="S73" s="44" t="e">
        <f t="shared" si="23"/>
        <v>#DIV/0!</v>
      </c>
      <c r="T73" s="44" t="e">
        <f t="shared" si="23"/>
        <v>#DIV/0!</v>
      </c>
      <c r="U73" s="44" t="e">
        <f t="shared" si="23"/>
        <v>#DIV/0!</v>
      </c>
      <c r="V73" s="44" t="e">
        <f t="shared" si="23"/>
        <v>#DIV/0!</v>
      </c>
      <c r="W73" s="44" t="e">
        <f t="shared" si="23"/>
        <v>#DIV/0!</v>
      </c>
      <c r="X73" s="44" t="e">
        <f t="shared" si="23"/>
        <v>#DIV/0!</v>
      </c>
      <c r="Y73" s="44" t="e">
        <f t="shared" si="23"/>
        <v>#DIV/0!</v>
      </c>
    </row>
    <row r="74" spans="1:25" s="77" customFormat="1" ht="13" x14ac:dyDescent="0.25">
      <c r="A74" s="161" t="s">
        <v>148</v>
      </c>
      <c r="B74" s="44">
        <v>43.37</v>
      </c>
      <c r="C74" s="44">
        <v>42.54</v>
      </c>
      <c r="D74" s="44">
        <v>47.15</v>
      </c>
      <c r="E74" s="44">
        <v>49.25</v>
      </c>
      <c r="F74" s="44">
        <v>52.52</v>
      </c>
      <c r="G74" s="44">
        <v>55.04</v>
      </c>
      <c r="H74" s="44">
        <v>54.5</v>
      </c>
      <c r="I74" s="44"/>
      <c r="J74" s="44"/>
      <c r="K74" s="44"/>
      <c r="L74" s="44"/>
      <c r="M74" s="44">
        <v>31.05</v>
      </c>
      <c r="N74" s="44">
        <v>31.65</v>
      </c>
      <c r="O74" s="44">
        <v>38.08</v>
      </c>
      <c r="P74" s="44">
        <v>39.119999999999997</v>
      </c>
      <c r="Q74" s="44">
        <v>43.19</v>
      </c>
      <c r="R74" s="44">
        <v>42.3</v>
      </c>
      <c r="S74" s="44"/>
      <c r="T74" s="44"/>
      <c r="U74" s="44"/>
      <c r="V74" s="44"/>
      <c r="W74" s="44"/>
      <c r="X74" s="44"/>
      <c r="Y74" s="44"/>
    </row>
    <row r="75" spans="1:25" s="77" customFormat="1" ht="13" x14ac:dyDescent="0.25">
      <c r="A75" s="161" t="s">
        <v>133</v>
      </c>
      <c r="B75" s="46">
        <v>19.72</v>
      </c>
      <c r="C75" s="46">
        <v>19.43</v>
      </c>
      <c r="D75" s="46">
        <v>22.78</v>
      </c>
      <c r="E75" s="46">
        <v>24.65</v>
      </c>
      <c r="F75" s="46">
        <v>26.33</v>
      </c>
      <c r="G75" s="46">
        <v>25.77</v>
      </c>
      <c r="H75" s="46">
        <v>22.86</v>
      </c>
      <c r="I75" s="44">
        <v>48.16</v>
      </c>
      <c r="J75" s="44">
        <v>45.32</v>
      </c>
      <c r="K75" s="44">
        <v>41.99</v>
      </c>
      <c r="L75" s="44">
        <v>43.86</v>
      </c>
      <c r="M75" s="46">
        <v>43.86</v>
      </c>
      <c r="N75" s="46">
        <v>54.18</v>
      </c>
      <c r="O75" s="46">
        <v>76.760000000000005</v>
      </c>
      <c r="P75" s="46">
        <v>74.650000000000006</v>
      </c>
      <c r="Q75" s="46">
        <v>71.510000000000005</v>
      </c>
      <c r="R75" s="46">
        <v>184.07</v>
      </c>
      <c r="S75" s="46"/>
      <c r="T75" s="46"/>
      <c r="U75" s="46"/>
      <c r="V75" s="46"/>
      <c r="W75" s="46"/>
      <c r="X75" s="46"/>
      <c r="Y75" s="46"/>
    </row>
    <row r="76" spans="1:25" s="77" customFormat="1" ht="12.5" x14ac:dyDescent="0.25">
      <c r="A76" s="78" t="s">
        <v>8</v>
      </c>
      <c r="B76" s="44">
        <f t="shared" ref="B76:Y76" si="24">B62/B75</f>
        <v>52.274340770791071</v>
      </c>
      <c r="C76" s="44">
        <f t="shared" si="24"/>
        <v>52.779207411219765</v>
      </c>
      <c r="D76" s="44">
        <f t="shared" si="24"/>
        <v>55.092186128182611</v>
      </c>
      <c r="E76" s="44">
        <f t="shared" si="24"/>
        <v>55.016227180527387</v>
      </c>
      <c r="F76" s="44">
        <f t="shared" si="24"/>
        <v>55.007595898214966</v>
      </c>
      <c r="G76" s="44">
        <f t="shared" si="24"/>
        <v>57.54753589445091</v>
      </c>
      <c r="H76" s="44">
        <f t="shared" si="24"/>
        <v>57.539370078740156</v>
      </c>
      <c r="I76" s="44">
        <f t="shared" si="24"/>
        <v>0</v>
      </c>
      <c r="J76" s="44">
        <f t="shared" si="24"/>
        <v>0</v>
      </c>
      <c r="K76" s="44">
        <f t="shared" si="24"/>
        <v>0</v>
      </c>
      <c r="L76" s="44">
        <f t="shared" si="24"/>
        <v>0</v>
      </c>
      <c r="M76" s="44">
        <f t="shared" si="24"/>
        <v>0</v>
      </c>
      <c r="N76" s="44">
        <f t="shared" si="24"/>
        <v>0</v>
      </c>
      <c r="O76" s="44">
        <f t="shared" si="24"/>
        <v>0</v>
      </c>
      <c r="P76" s="44">
        <f t="shared" si="24"/>
        <v>0</v>
      </c>
      <c r="Q76" s="44">
        <f t="shared" si="24"/>
        <v>0</v>
      </c>
      <c r="R76" s="44">
        <f t="shared" si="24"/>
        <v>0</v>
      </c>
      <c r="S76" s="44" t="e">
        <f t="shared" si="24"/>
        <v>#DIV/0!</v>
      </c>
      <c r="T76" s="44" t="e">
        <f t="shared" si="24"/>
        <v>#DIV/0!</v>
      </c>
      <c r="U76" s="44" t="e">
        <f t="shared" si="24"/>
        <v>#DIV/0!</v>
      </c>
      <c r="V76" s="44" t="e">
        <f t="shared" si="24"/>
        <v>#DIV/0!</v>
      </c>
      <c r="W76" s="44" t="e">
        <f t="shared" si="24"/>
        <v>#DIV/0!</v>
      </c>
      <c r="X76" s="44" t="e">
        <f t="shared" si="24"/>
        <v>#DIV/0!</v>
      </c>
      <c r="Y76" s="44" t="e">
        <f t="shared" si="24"/>
        <v>#DIV/0!</v>
      </c>
    </row>
    <row r="77" spans="1:25" s="79" customFormat="1" ht="12.5" x14ac:dyDescent="0.25">
      <c r="A77" s="48" t="s">
        <v>134</v>
      </c>
      <c r="B77" s="63" t="e">
        <f t="shared" ref="B77:Y78" si="25">(B75-A75)/A75</f>
        <v>#VALUE!</v>
      </c>
      <c r="C77" s="63">
        <f t="shared" si="25"/>
        <v>-1.4705882352941135E-2</v>
      </c>
      <c r="D77" s="63">
        <f t="shared" si="25"/>
        <v>0.17241379310344834</v>
      </c>
      <c r="E77" s="63">
        <f t="shared" si="25"/>
        <v>8.208955223880586E-2</v>
      </c>
      <c r="F77" s="63">
        <f t="shared" si="25"/>
        <v>6.8154158215010141E-2</v>
      </c>
      <c r="G77" s="63">
        <f t="shared" si="25"/>
        <v>-2.1268515001898927E-2</v>
      </c>
      <c r="H77" s="63">
        <f t="shared" si="25"/>
        <v>-0.11292200232828871</v>
      </c>
      <c r="I77" s="63">
        <f t="shared" si="25"/>
        <v>1.1067366579177602</v>
      </c>
      <c r="J77" s="63">
        <f t="shared" si="25"/>
        <v>-5.8970099667774015E-2</v>
      </c>
      <c r="K77" s="63">
        <f t="shared" si="25"/>
        <v>-7.3477493380405962E-2</v>
      </c>
      <c r="L77" s="63">
        <f t="shared" si="25"/>
        <v>4.4534412955465522E-2</v>
      </c>
      <c r="M77" s="63">
        <f t="shared" si="25"/>
        <v>0</v>
      </c>
      <c r="N77" s="63">
        <f t="shared" si="25"/>
        <v>0.23529411764705882</v>
      </c>
      <c r="O77" s="63">
        <f t="shared" si="25"/>
        <v>0.41675895164267268</v>
      </c>
      <c r="P77" s="63">
        <f t="shared" si="25"/>
        <v>-2.7488275143303795E-2</v>
      </c>
      <c r="Q77" s="63">
        <f t="shared" si="25"/>
        <v>-4.2062960482250507E-2</v>
      </c>
      <c r="R77" s="63">
        <f t="shared" si="25"/>
        <v>1.574045588029646</v>
      </c>
      <c r="S77" s="63">
        <f t="shared" si="25"/>
        <v>-1</v>
      </c>
      <c r="T77" s="63" t="e">
        <f t="shared" si="25"/>
        <v>#DIV/0!</v>
      </c>
      <c r="U77" s="63" t="e">
        <f t="shared" si="25"/>
        <v>#DIV/0!</v>
      </c>
      <c r="V77" s="63" t="e">
        <f t="shared" si="25"/>
        <v>#DIV/0!</v>
      </c>
      <c r="W77" s="63" t="e">
        <f t="shared" si="25"/>
        <v>#DIV/0!</v>
      </c>
      <c r="X77" s="63" t="e">
        <f t="shared" si="25"/>
        <v>#DIV/0!</v>
      </c>
      <c r="Y77" s="63" t="e">
        <f t="shared" si="25"/>
        <v>#DIV/0!</v>
      </c>
    </row>
    <row r="78" spans="1:25" s="79" customFormat="1" ht="12.5" x14ac:dyDescent="0.25">
      <c r="A78" s="48" t="s">
        <v>86</v>
      </c>
      <c r="B78" s="63" t="e">
        <f t="shared" si="25"/>
        <v>#VALUE!</v>
      </c>
      <c r="C78" s="63">
        <f t="shared" si="25"/>
        <v>9.6580202253032568E-3</v>
      </c>
      <c r="D78" s="63">
        <f t="shared" si="25"/>
        <v>4.3823672813835292E-2</v>
      </c>
      <c r="E78" s="63">
        <f t="shared" si="25"/>
        <v>-1.3787608187936205E-3</v>
      </c>
      <c r="F78" s="63">
        <f t="shared" si="25"/>
        <v>-1.5688611805566885E-4</v>
      </c>
      <c r="G78" s="63">
        <f t="shared" si="25"/>
        <v>4.6174350192213484E-2</v>
      </c>
      <c r="H78" s="63">
        <f t="shared" si="25"/>
        <v>-1.4189687853414121E-4</v>
      </c>
      <c r="I78" s="63">
        <f t="shared" si="25"/>
        <v>-1</v>
      </c>
      <c r="J78" s="63" t="e">
        <f t="shared" si="25"/>
        <v>#DIV/0!</v>
      </c>
      <c r="K78" s="63" t="e">
        <f t="shared" si="25"/>
        <v>#DIV/0!</v>
      </c>
      <c r="L78" s="63" t="e">
        <f t="shared" si="25"/>
        <v>#DIV/0!</v>
      </c>
      <c r="M78" s="63" t="e">
        <f t="shared" si="25"/>
        <v>#DIV/0!</v>
      </c>
      <c r="N78" s="63" t="e">
        <f t="shared" si="25"/>
        <v>#DIV/0!</v>
      </c>
      <c r="O78" s="63" t="e">
        <f t="shared" si="25"/>
        <v>#DIV/0!</v>
      </c>
      <c r="P78" s="63" t="e">
        <f t="shared" si="25"/>
        <v>#DIV/0!</v>
      </c>
      <c r="Q78" s="63" t="e">
        <f t="shared" si="25"/>
        <v>#DIV/0!</v>
      </c>
      <c r="R78" s="63" t="e">
        <f t="shared" si="25"/>
        <v>#DIV/0!</v>
      </c>
      <c r="S78" s="63" t="e">
        <f t="shared" si="25"/>
        <v>#DIV/0!</v>
      </c>
      <c r="T78" s="63" t="e">
        <f t="shared" si="25"/>
        <v>#DIV/0!</v>
      </c>
      <c r="U78" s="63" t="e">
        <f t="shared" si="25"/>
        <v>#DIV/0!</v>
      </c>
      <c r="V78" s="63" t="e">
        <f t="shared" si="25"/>
        <v>#DIV/0!</v>
      </c>
      <c r="W78" s="63" t="e">
        <f t="shared" si="25"/>
        <v>#DIV/0!</v>
      </c>
      <c r="X78" s="63" t="e">
        <f t="shared" si="25"/>
        <v>#DIV/0!</v>
      </c>
      <c r="Y78" s="63" t="e">
        <f t="shared" si="25"/>
        <v>#DIV/0!</v>
      </c>
    </row>
    <row r="79" spans="1:25" s="87" customFormat="1" ht="12.5" x14ac:dyDescent="0.25">
      <c r="A79" s="57" t="s">
        <v>166</v>
      </c>
      <c r="B79" s="44" t="e">
        <f t="shared" ref="B79:H79" si="26">B77/B78</f>
        <v>#VALUE!</v>
      </c>
      <c r="C79" s="44">
        <f t="shared" si="26"/>
        <v>-1.522660132188673</v>
      </c>
      <c r="D79" s="44">
        <f t="shared" si="26"/>
        <v>3.9342615995667227</v>
      </c>
      <c r="E79" s="44">
        <f t="shared" si="26"/>
        <v>-59.538645949216964</v>
      </c>
      <c r="F79" s="44">
        <f t="shared" si="26"/>
        <v>-434.41802920272772</v>
      </c>
      <c r="G79" s="44">
        <f t="shared" si="26"/>
        <v>-0.4606131957106675</v>
      </c>
      <c r="H79" s="44">
        <f t="shared" si="26"/>
        <v>795.80328682930838</v>
      </c>
      <c r="I79" s="44">
        <f>I77/I78</f>
        <v>-1.1067366579177602</v>
      </c>
      <c r="J79" s="44" t="e">
        <f>J77/J78</f>
        <v>#DIV/0!</v>
      </c>
      <c r="K79" s="44" t="e">
        <f>K77/K78</f>
        <v>#DIV/0!</v>
      </c>
      <c r="L79" s="44" t="e">
        <f>L77/L78</f>
        <v>#DIV/0!</v>
      </c>
      <c r="M79" s="44" t="e">
        <f t="shared" ref="M79:Y79" si="27">M77/M78</f>
        <v>#DIV/0!</v>
      </c>
      <c r="N79" s="44" t="e">
        <f t="shared" si="27"/>
        <v>#DIV/0!</v>
      </c>
      <c r="O79" s="44" t="e">
        <f t="shared" si="27"/>
        <v>#DIV/0!</v>
      </c>
      <c r="P79" s="44" t="e">
        <f t="shared" si="27"/>
        <v>#DIV/0!</v>
      </c>
      <c r="Q79" s="44" t="e">
        <f t="shared" si="27"/>
        <v>#DIV/0!</v>
      </c>
      <c r="R79" s="44" t="e">
        <f t="shared" si="27"/>
        <v>#DIV/0!</v>
      </c>
      <c r="S79" s="44" t="e">
        <f t="shared" si="27"/>
        <v>#DIV/0!</v>
      </c>
      <c r="T79" s="44" t="e">
        <f t="shared" si="27"/>
        <v>#DIV/0!</v>
      </c>
      <c r="U79" s="44" t="e">
        <f t="shared" si="27"/>
        <v>#DIV/0!</v>
      </c>
      <c r="V79" s="44" t="e">
        <f t="shared" si="27"/>
        <v>#DIV/0!</v>
      </c>
      <c r="W79" s="44" t="e">
        <f t="shared" si="27"/>
        <v>#DIV/0!</v>
      </c>
      <c r="X79" s="44" t="e">
        <f t="shared" si="27"/>
        <v>#DIV/0!</v>
      </c>
      <c r="Y79" s="44" t="e">
        <f t="shared" si="27"/>
        <v>#DIV/0!</v>
      </c>
    </row>
    <row r="80" spans="1:25" ht="15.75" customHeight="1" x14ac:dyDescent="0.25">
      <c r="A80" s="88" t="s">
        <v>167</v>
      </c>
    </row>
    <row r="81" spans="1:13" ht="15.75" customHeight="1" x14ac:dyDescent="0.25"/>
    <row r="82" spans="1:13" ht="15.75" customHeight="1" x14ac:dyDescent="0.3">
      <c r="A82" s="72" t="s">
        <v>177</v>
      </c>
      <c r="B82" s="73"/>
      <c r="C82" s="73"/>
      <c r="D82" s="73"/>
      <c r="E82" s="73"/>
      <c r="F82" s="73"/>
      <c r="G82" s="73"/>
      <c r="H82" s="73"/>
    </row>
    <row r="83" spans="1:13" ht="15.75" customHeight="1" x14ac:dyDescent="0.25">
      <c r="A83" s="74"/>
      <c r="B83" s="75">
        <v>45107</v>
      </c>
      <c r="C83" s="75" t="s">
        <v>230</v>
      </c>
      <c r="D83" s="75">
        <v>45107</v>
      </c>
      <c r="E83" s="75">
        <v>45138</v>
      </c>
      <c r="F83" s="75">
        <v>45169</v>
      </c>
      <c r="G83" s="75">
        <v>45199</v>
      </c>
      <c r="H83" s="75">
        <v>45230</v>
      </c>
      <c r="I83" s="75">
        <v>45260</v>
      </c>
      <c r="J83" s="75">
        <v>45291</v>
      </c>
      <c r="K83" s="75">
        <v>45322</v>
      </c>
      <c r="L83" s="75">
        <v>45351</v>
      </c>
      <c r="M83" s="75">
        <v>45382</v>
      </c>
    </row>
    <row r="84" spans="1:13" ht="15.75" customHeight="1" x14ac:dyDescent="0.25">
      <c r="A84" s="39" t="s">
        <v>178</v>
      </c>
      <c r="B84" s="41"/>
      <c r="C84" s="41"/>
      <c r="D84" s="41"/>
      <c r="E84" s="41"/>
      <c r="F84" s="41"/>
      <c r="G84" s="41"/>
      <c r="H84" s="42"/>
      <c r="I84" s="41"/>
      <c r="J84" s="41"/>
      <c r="K84" s="41"/>
      <c r="L84" s="41"/>
      <c r="M84" s="42"/>
    </row>
    <row r="85" spans="1:13" ht="15.75" customHeight="1" x14ac:dyDescent="0.35">
      <c r="A85" s="163" t="s">
        <v>10</v>
      </c>
      <c r="B85" s="164"/>
      <c r="C85" s="164"/>
      <c r="D85" s="164"/>
      <c r="E85" s="164"/>
      <c r="F85" s="164"/>
      <c r="G85" s="164"/>
      <c r="H85" s="165"/>
      <c r="I85" s="164"/>
      <c r="J85" s="164"/>
      <c r="K85" s="164"/>
      <c r="L85" s="164"/>
      <c r="M85" s="165"/>
    </row>
    <row r="86" spans="1:13" ht="15.75" customHeight="1" x14ac:dyDescent="0.35">
      <c r="A86" s="166" t="s">
        <v>179</v>
      </c>
      <c r="B86" s="167">
        <v>10</v>
      </c>
      <c r="C86" s="167">
        <v>10</v>
      </c>
      <c r="D86" s="167"/>
      <c r="E86" s="167"/>
      <c r="F86" s="167"/>
      <c r="G86" s="168"/>
      <c r="H86" s="168"/>
      <c r="I86" s="167"/>
      <c r="J86" s="167"/>
      <c r="K86" s="167"/>
      <c r="L86" s="168"/>
      <c r="M86" s="168"/>
    </row>
    <row r="87" spans="1:13" ht="15.75" customHeight="1" x14ac:dyDescent="0.35">
      <c r="A87" s="166" t="s">
        <v>180</v>
      </c>
      <c r="B87" s="169">
        <v>5</v>
      </c>
      <c r="C87" s="169">
        <v>5</v>
      </c>
      <c r="D87" s="169"/>
      <c r="E87" s="169"/>
      <c r="F87" s="169"/>
      <c r="G87" s="169"/>
      <c r="H87" s="169"/>
      <c r="I87" s="169"/>
      <c r="J87" s="169"/>
      <c r="K87" s="169"/>
      <c r="L87" s="169"/>
      <c r="M87" s="169"/>
    </row>
    <row r="88" spans="1:13" ht="15.75" customHeight="1" x14ac:dyDescent="0.35">
      <c r="A88" s="166" t="s">
        <v>181</v>
      </c>
      <c r="B88" s="168">
        <v>5</v>
      </c>
      <c r="C88" s="168">
        <v>5</v>
      </c>
      <c r="D88" s="168"/>
      <c r="E88" s="168"/>
      <c r="F88" s="168"/>
      <c r="G88" s="168"/>
      <c r="H88" s="168"/>
      <c r="I88" s="168"/>
      <c r="J88" s="168"/>
      <c r="K88" s="168"/>
      <c r="L88" s="168"/>
      <c r="M88" s="168"/>
    </row>
    <row r="89" spans="1:13" ht="15.75" customHeight="1" x14ac:dyDescent="0.35">
      <c r="A89" s="163" t="s">
        <v>182</v>
      </c>
      <c r="B89" s="170">
        <v>5</v>
      </c>
      <c r="C89" s="169">
        <v>5</v>
      </c>
      <c r="D89" s="169"/>
      <c r="E89" s="169"/>
      <c r="F89" s="169"/>
      <c r="G89" s="169"/>
      <c r="H89" s="169"/>
      <c r="I89" s="169"/>
      <c r="J89" s="169"/>
      <c r="K89" s="169"/>
      <c r="L89" s="169"/>
      <c r="M89" s="169"/>
    </row>
    <row r="90" spans="1:13" ht="15.75" customHeight="1" x14ac:dyDescent="0.35">
      <c r="A90" s="39" t="s">
        <v>127</v>
      </c>
      <c r="B90" s="170"/>
      <c r="C90" s="169"/>
      <c r="D90" s="169"/>
      <c r="E90" s="169"/>
      <c r="F90" s="169"/>
      <c r="G90" s="169"/>
      <c r="H90" s="169"/>
      <c r="I90" s="169"/>
      <c r="J90" s="169"/>
      <c r="K90" s="169"/>
      <c r="L90" s="169"/>
      <c r="M90" s="169"/>
    </row>
    <row r="91" spans="1:13" ht="15.75" customHeight="1" x14ac:dyDescent="0.35">
      <c r="A91" s="171" t="s">
        <v>183</v>
      </c>
      <c r="B91" s="168">
        <v>15</v>
      </c>
      <c r="C91" s="168">
        <v>15</v>
      </c>
      <c r="D91" s="170"/>
      <c r="E91" s="170"/>
      <c r="F91" s="170"/>
      <c r="G91" s="170"/>
      <c r="H91" s="170"/>
      <c r="I91" s="170"/>
      <c r="J91" s="170"/>
      <c r="K91" s="170"/>
      <c r="L91" s="170"/>
      <c r="M91" s="170"/>
    </row>
    <row r="92" spans="1:13" ht="15.75" customHeight="1" x14ac:dyDescent="0.35">
      <c r="A92" s="171" t="s">
        <v>184</v>
      </c>
      <c r="B92" s="168">
        <v>3</v>
      </c>
      <c r="C92" s="168">
        <v>3</v>
      </c>
      <c r="D92" s="170"/>
      <c r="E92" s="170"/>
      <c r="F92" s="170"/>
      <c r="G92" s="170"/>
      <c r="H92" s="170"/>
      <c r="I92" s="170"/>
      <c r="J92" s="170"/>
      <c r="K92" s="170"/>
      <c r="L92" s="170"/>
      <c r="M92" s="170"/>
    </row>
    <row r="93" spans="1:13" ht="15.75" customHeight="1" x14ac:dyDescent="0.35">
      <c r="A93" s="171" t="s">
        <v>133</v>
      </c>
      <c r="B93" s="168">
        <v>4</v>
      </c>
      <c r="C93" s="168">
        <v>4</v>
      </c>
      <c r="D93" s="170"/>
      <c r="E93" s="170"/>
      <c r="F93" s="170"/>
      <c r="G93" s="170"/>
      <c r="H93" s="170"/>
      <c r="I93" s="170"/>
      <c r="J93" s="170"/>
      <c r="K93" s="170"/>
      <c r="L93" s="170"/>
      <c r="M93" s="170"/>
    </row>
    <row r="94" spans="1:13" ht="15.75" customHeight="1" x14ac:dyDescent="0.35">
      <c r="A94" s="39" t="s">
        <v>185</v>
      </c>
      <c r="B94" s="168"/>
      <c r="C94" s="170"/>
      <c r="D94" s="170"/>
      <c r="E94" s="170"/>
      <c r="F94" s="170"/>
      <c r="G94" s="170"/>
      <c r="H94" s="170"/>
      <c r="I94" s="170"/>
      <c r="J94" s="170"/>
      <c r="K94" s="170"/>
      <c r="L94" s="170"/>
      <c r="M94" s="170"/>
    </row>
    <row r="95" spans="1:13" ht="15.75" customHeight="1" x14ac:dyDescent="0.35">
      <c r="A95" s="171" t="s">
        <v>186</v>
      </c>
      <c r="B95" s="168">
        <v>5</v>
      </c>
      <c r="C95" s="168">
        <v>5</v>
      </c>
      <c r="D95" s="170"/>
      <c r="E95" s="170"/>
      <c r="F95" s="170"/>
      <c r="G95" s="170"/>
      <c r="H95" s="170"/>
      <c r="I95" s="170"/>
      <c r="J95" s="170"/>
      <c r="K95" s="170"/>
      <c r="L95" s="170"/>
      <c r="M95" s="170"/>
    </row>
    <row r="96" spans="1:13" ht="15.75" customHeight="1" x14ac:dyDescent="0.35">
      <c r="A96" s="171" t="s">
        <v>187</v>
      </c>
      <c r="B96" s="168">
        <v>5</v>
      </c>
      <c r="C96" s="168">
        <v>5</v>
      </c>
      <c r="D96" s="170"/>
      <c r="E96" s="170"/>
      <c r="F96" s="170"/>
      <c r="G96" s="170"/>
      <c r="H96" s="170"/>
      <c r="I96" s="170"/>
      <c r="J96" s="170"/>
      <c r="K96" s="170"/>
      <c r="L96" s="170"/>
      <c r="M96" s="170"/>
    </row>
    <row r="97" spans="1:13" ht="15.75" customHeight="1" x14ac:dyDescent="0.35">
      <c r="A97" s="171" t="s">
        <v>188</v>
      </c>
      <c r="B97" s="168">
        <v>5</v>
      </c>
      <c r="C97" s="170">
        <v>5</v>
      </c>
      <c r="D97" s="170"/>
      <c r="E97" s="170"/>
      <c r="F97" s="170"/>
      <c r="G97" s="170"/>
      <c r="H97" s="170"/>
      <c r="I97" s="170"/>
      <c r="J97" s="170"/>
      <c r="K97" s="170"/>
      <c r="L97" s="170"/>
      <c r="M97" s="170"/>
    </row>
    <row r="98" spans="1:13" ht="15.75" customHeight="1" x14ac:dyDescent="0.35">
      <c r="A98" s="171" t="s">
        <v>106</v>
      </c>
      <c r="B98" s="168">
        <v>5</v>
      </c>
      <c r="C98" s="168">
        <v>5</v>
      </c>
      <c r="D98" s="170"/>
      <c r="E98" s="170"/>
      <c r="F98" s="170"/>
      <c r="G98" s="170"/>
      <c r="H98" s="170"/>
      <c r="I98" s="170"/>
      <c r="J98" s="170"/>
      <c r="K98" s="170"/>
      <c r="L98" s="170"/>
      <c r="M98" s="170"/>
    </row>
    <row r="99" spans="1:13" ht="15.75" customHeight="1" x14ac:dyDescent="0.35">
      <c r="A99" s="171" t="s">
        <v>189</v>
      </c>
      <c r="B99" s="170">
        <v>5</v>
      </c>
      <c r="C99" s="170">
        <v>5</v>
      </c>
      <c r="D99" s="170"/>
      <c r="E99" s="170"/>
      <c r="F99" s="170"/>
      <c r="G99" s="170"/>
      <c r="H99" s="170"/>
      <c r="I99" s="170"/>
      <c r="J99" s="170"/>
      <c r="K99" s="170"/>
      <c r="L99" s="170"/>
      <c r="M99" s="170"/>
    </row>
    <row r="100" spans="1:13" ht="15.75" customHeight="1" x14ac:dyDescent="0.35">
      <c r="A100" s="39" t="s">
        <v>190</v>
      </c>
      <c r="B100" s="172"/>
      <c r="C100" s="172"/>
      <c r="D100" s="172"/>
      <c r="E100" s="172"/>
      <c r="F100" s="172"/>
      <c r="G100" s="170"/>
      <c r="H100" s="170"/>
      <c r="I100" s="172"/>
      <c r="J100" s="172"/>
      <c r="K100" s="172"/>
      <c r="L100" s="170"/>
      <c r="M100" s="170"/>
    </row>
    <row r="101" spans="1:13" ht="15.75" customHeight="1" x14ac:dyDescent="0.35">
      <c r="A101" s="111" t="s">
        <v>41</v>
      </c>
      <c r="B101" s="169">
        <v>0</v>
      </c>
      <c r="C101" s="169">
        <v>0</v>
      </c>
      <c r="D101" s="169"/>
      <c r="E101" s="169"/>
      <c r="F101" s="169"/>
      <c r="G101" s="169"/>
      <c r="H101" s="169"/>
      <c r="I101" s="169"/>
      <c r="J101" s="169"/>
      <c r="K101" s="169"/>
      <c r="L101" s="169"/>
      <c r="M101" s="169"/>
    </row>
    <row r="102" spans="1:13" ht="15.75" customHeight="1" x14ac:dyDescent="0.35">
      <c r="A102" s="111" t="s">
        <v>121</v>
      </c>
      <c r="B102" s="169">
        <v>5</v>
      </c>
      <c r="C102" s="169">
        <v>5</v>
      </c>
      <c r="D102" s="169"/>
      <c r="E102" s="169"/>
      <c r="F102" s="169"/>
      <c r="G102" s="169"/>
      <c r="H102" s="169"/>
      <c r="I102" s="169"/>
      <c r="J102" s="169"/>
      <c r="K102" s="169"/>
      <c r="L102" s="169"/>
      <c r="M102" s="169"/>
    </row>
    <row r="103" spans="1:13" ht="15.75" customHeight="1" x14ac:dyDescent="0.35">
      <c r="A103" s="173" t="s">
        <v>191</v>
      </c>
      <c r="B103" s="170">
        <v>5</v>
      </c>
      <c r="C103" s="170">
        <v>5</v>
      </c>
      <c r="D103" s="170"/>
      <c r="E103" s="170"/>
      <c r="F103" s="170"/>
      <c r="G103" s="170"/>
      <c r="H103" s="170"/>
      <c r="I103" s="170"/>
      <c r="J103" s="170"/>
      <c r="K103" s="170"/>
      <c r="L103" s="170"/>
      <c r="M103" s="170"/>
    </row>
    <row r="104" spans="1:13" ht="15.75" customHeight="1" x14ac:dyDescent="0.35">
      <c r="A104" s="173" t="s">
        <v>192</v>
      </c>
      <c r="B104" s="170">
        <v>0</v>
      </c>
      <c r="C104" s="170">
        <v>0</v>
      </c>
      <c r="D104" s="170"/>
      <c r="E104" s="170"/>
      <c r="F104" s="170"/>
      <c r="G104" s="170"/>
      <c r="H104" s="170"/>
      <c r="I104" s="170"/>
      <c r="J104" s="170"/>
      <c r="K104" s="170"/>
      <c r="L104" s="170"/>
      <c r="M104" s="170"/>
    </row>
    <row r="105" spans="1:13" ht="15.75" customHeight="1" x14ac:dyDescent="0.35">
      <c r="A105" s="174" t="s">
        <v>193</v>
      </c>
      <c r="B105" s="175">
        <f>SUM(B85:B104)</f>
        <v>82</v>
      </c>
      <c r="C105" s="175">
        <f>SUM(C85:C104)</f>
        <v>82</v>
      </c>
      <c r="D105" s="175"/>
      <c r="E105" s="175"/>
      <c r="F105" s="175"/>
      <c r="G105" s="175"/>
      <c r="H105" s="175"/>
      <c r="I105" s="175"/>
      <c r="J105" s="175"/>
      <c r="K105" s="175"/>
      <c r="L105" s="175"/>
      <c r="M105" s="175"/>
    </row>
    <row r="106" spans="1:13" ht="15.75" customHeight="1" x14ac:dyDescent="0.25"/>
    <row r="107" spans="1:13" ht="40" customHeight="1" x14ac:dyDescent="0.3">
      <c r="A107" s="38" t="s">
        <v>231</v>
      </c>
      <c r="B107" s="176" t="s">
        <v>232</v>
      </c>
      <c r="C107" s="177"/>
      <c r="D107" s="177"/>
      <c r="E107" s="177"/>
      <c r="F107" s="177"/>
      <c r="G107" s="177"/>
      <c r="H107" s="177"/>
      <c r="I107" s="177"/>
      <c r="J107" s="177"/>
      <c r="K107" s="177"/>
      <c r="L107" s="177"/>
      <c r="M107" s="178"/>
    </row>
    <row r="108" spans="1:13" ht="15" customHeight="1" x14ac:dyDescent="0.3">
      <c r="A108" s="38" t="s">
        <v>233</v>
      </c>
      <c r="B108" s="179" t="s">
        <v>234</v>
      </c>
      <c r="C108" s="179"/>
      <c r="D108" s="179"/>
      <c r="E108" s="179"/>
      <c r="F108" s="179"/>
      <c r="G108" s="179"/>
      <c r="H108" s="179"/>
      <c r="I108" s="179"/>
      <c r="J108" s="179"/>
      <c r="K108" s="179"/>
      <c r="L108" s="179"/>
      <c r="M108" s="179"/>
    </row>
    <row r="110" spans="1:13" ht="15" customHeight="1" x14ac:dyDescent="0.3">
      <c r="A110" s="33" t="s">
        <v>235</v>
      </c>
    </row>
    <row r="111" spans="1:13" ht="15" customHeight="1" x14ac:dyDescent="0.3">
      <c r="A111" s="36" t="s">
        <v>168</v>
      </c>
      <c r="B111" s="36" t="s">
        <v>169</v>
      </c>
      <c r="C111" s="36" t="s">
        <v>236</v>
      </c>
      <c r="D111" s="36" t="s">
        <v>170</v>
      </c>
      <c r="E111" s="36" t="s">
        <v>171</v>
      </c>
      <c r="F111" s="36" t="s">
        <v>237</v>
      </c>
      <c r="G111" s="36" t="s">
        <v>172</v>
      </c>
      <c r="H111" s="36" t="s">
        <v>173</v>
      </c>
      <c r="I111" s="36" t="s">
        <v>174</v>
      </c>
      <c r="J111" s="36" t="s">
        <v>238</v>
      </c>
    </row>
    <row r="112" spans="1:13" ht="15" customHeight="1" x14ac:dyDescent="0.3">
      <c r="A112" s="38" t="s">
        <v>226</v>
      </c>
      <c r="B112" s="48"/>
      <c r="C112" s="48"/>
      <c r="D112" s="48"/>
      <c r="E112" s="48"/>
      <c r="F112" s="180"/>
      <c r="G112" s="180" t="s">
        <v>239</v>
      </c>
      <c r="H112" s="180" t="s">
        <v>240</v>
      </c>
      <c r="I112" s="180" t="s">
        <v>241</v>
      </c>
      <c r="J112" s="180" t="s">
        <v>242</v>
      </c>
    </row>
    <row r="113" spans="1:13" ht="15" customHeight="1" x14ac:dyDescent="0.35">
      <c r="A113" s="38" t="s">
        <v>227</v>
      </c>
      <c r="B113" s="48"/>
      <c r="C113" s="48"/>
      <c r="D113" s="180"/>
      <c r="E113" s="48"/>
      <c r="F113" s="181"/>
      <c r="G113" s="180" t="s">
        <v>239</v>
      </c>
      <c r="H113" s="180" t="s">
        <v>240</v>
      </c>
      <c r="I113" s="180" t="s">
        <v>241</v>
      </c>
      <c r="J113" s="180"/>
    </row>
    <row r="114" spans="1:13" ht="15" customHeight="1" x14ac:dyDescent="0.3">
      <c r="A114" s="38" t="s">
        <v>141</v>
      </c>
      <c r="B114" s="48"/>
      <c r="C114" s="48"/>
      <c r="D114" s="48"/>
      <c r="E114" s="48"/>
      <c r="F114" s="48"/>
      <c r="G114" s="180"/>
      <c r="H114" s="180"/>
      <c r="I114" s="180"/>
      <c r="J114" s="180"/>
    </row>
    <row r="115" spans="1:13" ht="15" customHeight="1" x14ac:dyDescent="0.3">
      <c r="A115" s="38" t="s">
        <v>142</v>
      </c>
      <c r="B115" s="48"/>
      <c r="C115" s="48"/>
      <c r="D115" s="48"/>
      <c r="E115" s="48"/>
      <c r="F115" s="48"/>
      <c r="G115" s="180"/>
      <c r="H115" s="180"/>
      <c r="I115" s="180"/>
      <c r="J115" s="180"/>
    </row>
    <row r="116" spans="1:13" ht="15" customHeight="1" x14ac:dyDescent="0.3">
      <c r="A116" s="38" t="s">
        <v>142</v>
      </c>
      <c r="B116" s="48"/>
      <c r="C116" s="48"/>
      <c r="D116" s="48"/>
      <c r="E116" s="48"/>
      <c r="F116" s="48"/>
      <c r="G116" s="180"/>
      <c r="H116" s="180"/>
      <c r="I116" s="180"/>
      <c r="J116" s="180"/>
    </row>
    <row r="117" spans="1:13" ht="15" customHeight="1" x14ac:dyDescent="0.3">
      <c r="A117" s="91"/>
      <c r="B117" s="92"/>
      <c r="C117" s="92"/>
      <c r="D117" s="92"/>
      <c r="E117" s="92"/>
      <c r="F117" s="92"/>
      <c r="G117" s="92"/>
      <c r="H117" s="92"/>
      <c r="I117" s="92"/>
    </row>
    <row r="118" spans="1:13" ht="15" customHeight="1" x14ac:dyDescent="0.3">
      <c r="A118" s="182" t="s">
        <v>226</v>
      </c>
    </row>
    <row r="119" spans="1:13" ht="116.5" customHeight="1" x14ac:dyDescent="0.3">
      <c r="A119" s="38" t="s">
        <v>239</v>
      </c>
      <c r="B119" s="176" t="s">
        <v>243</v>
      </c>
      <c r="C119" s="177"/>
      <c r="D119" s="177"/>
      <c r="E119" s="177"/>
      <c r="F119" s="177"/>
      <c r="G119" s="177"/>
      <c r="H119" s="177"/>
      <c r="I119" s="177"/>
      <c r="J119" s="177"/>
      <c r="K119" s="177"/>
      <c r="L119" s="177"/>
      <c r="M119" s="178"/>
    </row>
    <row r="120" spans="1:13" ht="296" customHeight="1" x14ac:dyDescent="0.3">
      <c r="A120" s="38" t="s">
        <v>244</v>
      </c>
      <c r="B120" s="176" t="s">
        <v>245</v>
      </c>
      <c r="C120" s="177"/>
      <c r="D120" s="177"/>
      <c r="E120" s="177"/>
      <c r="F120" s="177"/>
      <c r="G120" s="177"/>
      <c r="H120" s="177"/>
      <c r="I120" s="177"/>
      <c r="J120" s="177"/>
      <c r="K120" s="177"/>
      <c r="L120" s="177"/>
      <c r="M120" s="178"/>
    </row>
    <row r="122" spans="1:13" ht="15" customHeight="1" x14ac:dyDescent="0.3">
      <c r="A122" s="182" t="s">
        <v>227</v>
      </c>
    </row>
    <row r="123" spans="1:13" ht="90.5" customHeight="1" x14ac:dyDescent="0.3">
      <c r="A123" s="38" t="s">
        <v>239</v>
      </c>
      <c r="B123" s="176" t="s">
        <v>246</v>
      </c>
      <c r="C123" s="177"/>
      <c r="D123" s="177"/>
      <c r="E123" s="177"/>
      <c r="F123" s="177"/>
      <c r="G123" s="177"/>
      <c r="H123" s="177"/>
      <c r="I123" s="177"/>
      <c r="J123" s="177"/>
      <c r="K123" s="177"/>
      <c r="L123" s="177"/>
      <c r="M123" s="178"/>
    </row>
    <row r="124" spans="1:13" ht="232" customHeight="1" x14ac:dyDescent="0.3">
      <c r="A124" s="38" t="s">
        <v>244</v>
      </c>
      <c r="B124" s="176" t="s">
        <v>247</v>
      </c>
      <c r="C124" s="177"/>
      <c r="D124" s="177"/>
      <c r="E124" s="177"/>
      <c r="F124" s="177"/>
      <c r="G124" s="177"/>
      <c r="H124" s="177"/>
      <c r="I124" s="177"/>
      <c r="J124" s="177"/>
      <c r="K124" s="177"/>
      <c r="L124" s="177"/>
      <c r="M124" s="178"/>
    </row>
  </sheetData>
  <mergeCells count="7">
    <mergeCell ref="B124:M124"/>
    <mergeCell ref="B2:M2"/>
    <mergeCell ref="B107:M107"/>
    <mergeCell ref="B108:M108"/>
    <mergeCell ref="B119:M119"/>
    <mergeCell ref="B120:M120"/>
    <mergeCell ref="B123:M123"/>
  </mergeCells>
  <hyperlinks>
    <hyperlink ref="G112" r:id="rId1" xr:uid="{2815E201-A4A4-487F-80AD-D63A1A256BFE}"/>
    <hyperlink ref="I112" r:id="rId2" xr:uid="{C77C0D0F-C1E2-4C6F-BCAD-F741E261B2B7}"/>
    <hyperlink ref="H112" r:id="rId3" xr:uid="{DE033EEC-DAAE-44B1-A59E-20C83FA31E1F}"/>
    <hyperlink ref="J112" r:id="rId4" xr:uid="{70D5E563-D6DF-4598-B752-C353FDC8EB2E}"/>
    <hyperlink ref="G113" r:id="rId5" xr:uid="{0F512A79-7166-470A-9822-7CABAE6D6F31}"/>
    <hyperlink ref="H113" r:id="rId6" xr:uid="{77E3DD7D-5950-44FF-95A4-6523C060BC2B}"/>
    <hyperlink ref="I113" r:id="rId7" xr:uid="{C2861F71-F4D5-464B-9C59-DCFC0AAC923C}"/>
  </hyperlinks>
  <pageMargins left="0.7" right="0.7" top="0.75" bottom="0.75" header="0" footer="0"/>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Financials</vt:lpstr>
      <vt:lpstr>QtrlyResults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Agarwala</dc:creator>
  <cp:lastModifiedBy>Sanjay Agarwala</cp:lastModifiedBy>
  <dcterms:created xsi:type="dcterms:W3CDTF">2021-11-26T08:37:06Z</dcterms:created>
  <dcterms:modified xsi:type="dcterms:W3CDTF">2025-12-17T19:14:35Z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TECHMAHINDRA\LK00345734</vt:lpwstr>
  </property>
  <property fmtid="{D5CDD505-2E9C-101B-9397-08002B2CF9AE}" pid="4" name="DLPManualFileClassificationLastModificationDate">
    <vt:lpwstr>1655609027</vt:lpwstr>
  </property>
  <property fmtid="{D5CDD505-2E9C-101B-9397-08002B2CF9AE}" pid="5" name="DLPManualFileClassificationVersion">
    <vt:lpwstr>11.6.0.76</vt:lpwstr>
  </property>
</Properties>
</file>